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THINKPAD\Downloads\"/>
    </mc:Choice>
  </mc:AlternateContent>
  <xr:revisionPtr revIDLastSave="0" documentId="8_{C31303E2-C7FA-4411-9758-198977A5F259}" xr6:coauthVersionLast="47" xr6:coauthVersionMax="47" xr10:uidLastSave="{00000000-0000-0000-0000-000000000000}"/>
  <bookViews>
    <workbookView xWindow="-110" yWindow="-110" windowWidth="19420" windowHeight="11020" activeTab="3" xr2:uid="{CC5B7672-E3C9-458E-95EA-E391113A8754}"/>
  </bookViews>
  <sheets>
    <sheet name="RawData(Unclean)" sheetId="1" r:id="rId1"/>
    <sheet name="CleanedData" sheetId="3" r:id="rId2"/>
    <sheet name="PivotTables" sheetId="10" r:id="rId3"/>
    <sheet name="Dashboard" sheetId="12" r:id="rId4"/>
  </sheets>
  <definedNames>
    <definedName name="Slicer_Age">#N/A</definedName>
    <definedName name="Slicer_City">#N/A</definedName>
    <definedName name="Slicer_Gender">#N/A</definedName>
    <definedName name="Slicer_Product">#N/A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<sst xmlns="http://schemas.openxmlformats.org/spreadsheetml/2006/main" count="298" uniqueCount="65">
  <si>
    <t>Order_ID</t>
  </si>
  <si>
    <t>Customer_Name</t>
  </si>
  <si>
    <t>Gender</t>
  </si>
  <si>
    <t>Age</t>
  </si>
  <si>
    <t>City</t>
  </si>
  <si>
    <t>Order_Date</t>
  </si>
  <si>
    <t>Product</t>
  </si>
  <si>
    <t>Category</t>
  </si>
  <si>
    <t>Quantity</t>
  </si>
  <si>
    <t>Unit_Price</t>
  </si>
  <si>
    <t>Total_Amount</t>
  </si>
  <si>
    <t>Payment_Method</t>
  </si>
  <si>
    <t xml:space="preserve"> John Cruz </t>
  </si>
  <si>
    <t>Male</t>
  </si>
  <si>
    <t>Manila</t>
  </si>
  <si>
    <t>Laptop</t>
  </si>
  <si>
    <t>Electronics</t>
  </si>
  <si>
    <t>Credit Card</t>
  </si>
  <si>
    <t>anna reyes</t>
  </si>
  <si>
    <t>Female</t>
  </si>
  <si>
    <t>Cebu</t>
  </si>
  <si>
    <t>Headphones</t>
  </si>
  <si>
    <t>Cash</t>
  </si>
  <si>
    <t>MARCO Santos</t>
  </si>
  <si>
    <t>Davao</t>
  </si>
  <si>
    <t>Office Chair</t>
  </si>
  <si>
    <t>Furniture</t>
  </si>
  <si>
    <t>Gcash</t>
  </si>
  <si>
    <t>Liza dela Cruz</t>
  </si>
  <si>
    <t>Desk</t>
  </si>
  <si>
    <t>Credit card</t>
  </si>
  <si>
    <t>Paul Tan</t>
  </si>
  <si>
    <t>cebu</t>
  </si>
  <si>
    <t>Mouse</t>
  </si>
  <si>
    <t>CASH</t>
  </si>
  <si>
    <t xml:space="preserve"> Ana Reyes </t>
  </si>
  <si>
    <t>Kevin Lim</t>
  </si>
  <si>
    <t>Keyboard</t>
  </si>
  <si>
    <t>Debit Card</t>
  </si>
  <si>
    <t xml:space="preserve"> </t>
  </si>
  <si>
    <t>Table</t>
  </si>
  <si>
    <t>Grace Lee</t>
  </si>
  <si>
    <t>Mark Ong</t>
  </si>
  <si>
    <t>Monitor</t>
  </si>
  <si>
    <t>Claire Yu</t>
  </si>
  <si>
    <t>18/01/2024</t>
  </si>
  <si>
    <t>Ryan Co</t>
  </si>
  <si>
    <t>Trisha Lim</t>
  </si>
  <si>
    <t>Marco Santos</t>
  </si>
  <si>
    <t>26-01-2024</t>
  </si>
  <si>
    <t>GCash</t>
  </si>
  <si>
    <t>John Cruz</t>
  </si>
  <si>
    <t>Anna Reyes</t>
  </si>
  <si>
    <t>Unknown</t>
  </si>
  <si>
    <t>CAsh</t>
  </si>
  <si>
    <t>CaSh</t>
  </si>
  <si>
    <t>Row Labels</t>
  </si>
  <si>
    <t>Grand Total</t>
  </si>
  <si>
    <t>Sum of Total_Amount</t>
  </si>
  <si>
    <t>Count of Order_ID</t>
  </si>
  <si>
    <t>Column Labels</t>
  </si>
  <si>
    <t>Top Performing Products</t>
  </si>
  <si>
    <t>Sales by City and Category</t>
  </si>
  <si>
    <t>Most Used Payment Methods</t>
  </si>
  <si>
    <t>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</si>
</sst>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164" formatCode="yyyy\-mm\-dd;@"/>
  </numFmts>
  <fonts count="3" x14ac:knownFonts="1">
    <font>
      <sz val="11"/>
      <color theme="1"/>
      <name val="Aptos Narrow"/>
      <family val="2"/>
      <scheme val="minor"/>
    </font>
    <font>
      <b/>
      <sz val="11"/>
      <color theme="1"/>
      <name val="Aptos Narrow"/>
      <family val="2"/>
      <scheme val="minor"/>
    </font>
    <font>
      <sz val="48"/>
      <color theme="1"/>
      <name val="Aptos Narrow"/>
      <family val="2"/>
      <scheme val="minor"/>
    </font>
  </fonts>
  <fills count="4">
    <fill>
      <patternFill patternType="none"/>
    </fill>
    <fill>
      <patternFill patternType="gray125"/>
    </fill>
    <fill>
      <patternFill patternType="solid">
        <fgColor theme="4"/>
        <bgColor indexed="64"/>
      </patternFill>
    </fill>
    <fill>
      <patternFill patternType="solid">
        <fgColor rgb="FF83E3DC"/>
        <bgColor indexed="64"/>
      </patternFill>
    </fill>
  </fills>
  <borders count="1">
    <border>
      <left/>
      <right/>
      <top/>
      <bottom/>
      <diagonal/>
    </border>
  </borders>
  <cellStyleXfs count="1">
    <xf numFmtId="0" fontId="0" fillId="0" borderId="0"/>
  </cellStyleXfs>
  <cellXfs count="12">
    <xf numFmtId="0" fontId="0" fillId="0" borderId="0" xfId="0"/>
    <xf numFmtId="14" fontId="0" fillId="0" borderId="0" xfId="0" applyNumberFormat="1"/>
    <xf numFmtId="15" fontId="0" fillId="0" borderId="0" xfId="0" applyNumberFormat="1"/>
    <xf numFmtId="6" fontId="0" fillId="0" borderId="0" xfId="0" applyNumberFormat="1"/>
    <xf numFmtId="0" fontId="1" fillId="2" borderId="0" xfId="0" applyFont="1" applyFill="1"/>
    <xf numFmtId="0" fontId="0" fillId="0" borderId="0" xfId="0" pivotButton="1"/>
    <xf numFmtId="0" fontId="0" fillId="0" borderId="0" xfId="0" applyAlignment="1">
      <alignment horizontal="left"/>
    </xf>
    <xf numFmtId="164" fontId="1" fillId="2" borderId="0" xfId="0" applyNumberFormat="1" applyFont="1" applyFill="1"/>
    <xf numFmtId="164" fontId="0" fillId="0" borderId="0" xfId="0" applyNumberFormat="1"/>
    <xf numFmtId="0" fontId="2" fillId="3" borderId="0" xfId="0" applyFont="1" applyFill="1" applyAlignment="1">
      <alignment horizontal="center"/>
    </xf>
    <xf numFmtId="0" fontId="0" fillId="3" borderId="0" xfId="0" applyFill="1" applyAlignment="1">
      <alignment horizontal="center"/>
    </xf>
    <xf numFmtId="0" fontId="0" fillId="0" borderId="0" xfId="0" applyNumberFormat="1"/>
  </cellXfs>
  <cellStyles count="1">
    <cellStyle name="Normal" xfId="0" builtinId="0"/>
  </cellStyles>
  <dxfs count="4">
    <dxf>
      <numFmt numFmtId="0" formatCode="General"/>
    </dxf>
    <dxf>
      <numFmt numFmtId="0" formatCode="General"/>
    </dxf>
    <dxf>
      <numFmt numFmtId="164" formatCode="yyyy\-mm\-dd;@"/>
    </dxf>
    <dxf>
      <font>
        <b/>
        <i val="0"/>
        <strike val="0"/>
        <condense val="0"/>
        <extend val="0"/>
        <outline val="0"/>
        <shadow val="0"/>
        <u val="none"/>
        <vertAlign val="baseline"/>
        <sz val="11"/>
        <color theme="1"/>
        <name val="Aptos Narrow"/>
        <family val="2"/>
        <scheme val="minor"/>
      </font>
      <fill>
        <patternFill patternType="solid">
          <fgColor indexed="64"/>
          <bgColor theme="4"/>
        </patternFill>
      </fill>
    </dxf>
  </dxfs>
  <tableStyles count="0" defaultTableStyle="TableStyleMedium2" defaultPivotStyle="PivotStyleLight16"/>
  <colors>
    <mruColors>
      <color rgb="FF83E3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[Excel-Sales-Analysis.xlsx]PivotTables!PivotTable6</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c:f>
              <c:strCache>
                <c:ptCount val="1"/>
                <c:pt idx="0">
                  <c:v>Total</c:v>
                </c:pt>
              </c:strCache>
            </c:strRef>
          </c:tx>
          <c:spPr>
            <a:solidFill>
              <a:schemeClr val="accent1"/>
            </a:solidFill>
            <a:ln>
              <a:noFill/>
            </a:ln>
            <a:effectLst/>
          </c:spPr>
          <c:invertIfNegative val="0"/>
          <c:cat>
            <c:strRef>
              <c:f>PivotTables!$A$4:$A$12</c:f>
              <c:strCache>
                <c:ptCount val="8"/>
                <c:pt idx="0">
                  <c:v>Desk</c:v>
                </c:pt>
                <c:pt idx="1">
                  <c:v>Headphones</c:v>
                </c:pt>
                <c:pt idx="2">
                  <c:v>Keyboard</c:v>
                </c:pt>
                <c:pt idx="3">
                  <c:v>Laptop</c:v>
                </c:pt>
                <c:pt idx="4">
                  <c:v>Monitor</c:v>
                </c:pt>
                <c:pt idx="5">
                  <c:v>Mouse</c:v>
                </c:pt>
                <c:pt idx="6">
                  <c:v>Office Chair</c:v>
                </c:pt>
                <c:pt idx="7">
                  <c:v>Table</c:v>
                </c:pt>
              </c:strCache>
            </c:strRef>
          </c:cat>
          <c:val>
            <c:numRef>
              <c:f>PivotTables!$B$4:$B$12</c:f>
              <c:numCache>
                <c:formatCode>General</c:formatCode>
                <c:ptCount val="8"/>
                <c:pt idx="0">
                  <c:v>16000</c:v>
                </c:pt>
                <c:pt idx="1">
                  <c:v>9000</c:v>
                </c:pt>
                <c:pt idx="2">
                  <c:v>2400</c:v>
                </c:pt>
                <c:pt idx="3">
                  <c:v>135000</c:v>
                </c:pt>
                <c:pt idx="4">
                  <c:v>24000</c:v>
                </c:pt>
                <c:pt idx="5">
                  <c:v>7000</c:v>
                </c:pt>
                <c:pt idx="6">
                  <c:v>11000</c:v>
                </c:pt>
                <c:pt idx="7">
                  <c:v>20000</c:v>
                </c:pt>
              </c:numCache>
            </c:numRef>
          </c:val>
          <c:extLst>
            <c:ext xmlns:c16="http://schemas.microsoft.com/office/drawing/2014/chart" uri="{C3380CC4-5D6E-409C-BE32-E72D297353CC}">
              <c16:uniqueId val="{00000000-A87F-4DE2-A65F-A79D62C41BA0}"/>
            </c:ext>
          </c:extLst>
        </c:ser>
        <c:dLbls>
          <c:showLegendKey val="0"/>
          <c:showVal val="0"/>
          <c:showCatName val="0"/>
          <c:showSerName val="0"/>
          <c:showPercent val="0"/>
          <c:showBubbleSize val="0"/>
        </c:dLbls>
        <c:gapWidth val="219"/>
        <c:overlap val="-27"/>
        <c:axId val="644613920"/>
        <c:axId val="644600960"/>
      </c:barChart>
      <c:catAx>
        <c:axId val="64461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00960"/>
        <c:crosses val="autoZero"/>
        <c:auto val="1"/>
        <c:lblAlgn val="ctr"/>
        <c:lblOffset val="100"/>
        <c:noMultiLvlLbl val="0"/>
      </c:catAx>
      <c:valAx>
        <c:axId val="644600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1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[Excel-Sales-Analysis.xlsx]PivotTables!PivotTable1</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26857968257324"/>
          <c:y val="0.15804635460362063"/>
          <c:w val="0.51312112831533641"/>
          <c:h val="0.72324623735255178"/>
        </c:manualLayout>
      </c:layout>
      <c:barChart>
        <c:barDir val="bar"/>
        <c:grouping val="clustered"/>
        <c:varyColors val="0"/>
        <c:ser>
          <c:idx val="0"/>
          <c:order val="0"/>
          <c:tx>
            <c:strRef>
              <c:f>PivotTables!$B$18:$B$19</c:f>
              <c:strCache>
                <c:ptCount val="1"/>
                <c:pt idx="0">
                  <c:v>Electronics</c:v>
                </c:pt>
              </c:strCache>
            </c:strRef>
          </c:tx>
          <c:spPr>
            <a:solidFill>
              <a:schemeClr val="accent1"/>
            </a:solidFill>
            <a:ln>
              <a:noFill/>
            </a:ln>
            <a:effectLst/>
          </c:spPr>
          <c:invertIfNegative val="0"/>
          <c:cat>
            <c:strRef>
              <c:f>PivotTables!$A$20:$A$23</c:f>
              <c:strCache>
                <c:ptCount val="3"/>
                <c:pt idx="0">
                  <c:v>Cebu</c:v>
                </c:pt>
                <c:pt idx="1">
                  <c:v>Davao</c:v>
                </c:pt>
                <c:pt idx="2">
                  <c:v>Manila</c:v>
                </c:pt>
              </c:strCache>
            </c:strRef>
          </c:cat>
          <c:val>
            <c:numRef>
              <c:f>PivotTables!$B$20:$B$23</c:f>
              <c:numCache>
                <c:formatCode>General</c:formatCode>
                <c:ptCount val="3"/>
                <c:pt idx="0">
                  <c:v>70600</c:v>
                </c:pt>
                <c:pt idx="2">
                  <c:v>106800</c:v>
                </c:pt>
              </c:numCache>
            </c:numRef>
          </c:val>
          <c:extLst>
            <c:ext xmlns:c16="http://schemas.microsoft.com/office/drawing/2014/chart" uri="{C3380CC4-5D6E-409C-BE32-E72D297353CC}">
              <c16:uniqueId val="{00000000-245B-40E1-B5CE-EF2C04EC5DE7}"/>
            </c:ext>
          </c:extLst>
        </c:ser>
        <c:ser>
          <c:idx val="1"/>
          <c:order val="1"/>
          <c:tx>
            <c:strRef>
              <c:f>PivotTables!$C$18:$C$19</c:f>
              <c:strCache>
                <c:ptCount val="1"/>
                <c:pt idx="0">
                  <c:v>Furniture</c:v>
                </c:pt>
              </c:strCache>
            </c:strRef>
          </c:tx>
          <c:spPr>
            <a:solidFill>
              <a:schemeClr val="accent2"/>
            </a:solidFill>
            <a:ln>
              <a:noFill/>
            </a:ln>
            <a:effectLst/>
          </c:spPr>
          <c:invertIfNegative val="0"/>
          <c:cat>
            <c:strRef>
              <c:f>PivotTables!$A$20:$A$23</c:f>
              <c:strCache>
                <c:ptCount val="3"/>
                <c:pt idx="0">
                  <c:v>Cebu</c:v>
                </c:pt>
                <c:pt idx="1">
                  <c:v>Davao</c:v>
                </c:pt>
                <c:pt idx="2">
                  <c:v>Manila</c:v>
                </c:pt>
              </c:strCache>
            </c:strRef>
          </c:cat>
          <c:val>
            <c:numRef>
              <c:f>PivotTables!$C$20:$C$23</c:f>
              <c:numCache>
                <c:formatCode>General</c:formatCode>
                <c:ptCount val="3"/>
                <c:pt idx="1">
                  <c:v>29000</c:v>
                </c:pt>
                <c:pt idx="2">
                  <c:v>18000</c:v>
                </c:pt>
              </c:numCache>
            </c:numRef>
          </c:val>
          <c:extLst>
            <c:ext xmlns:c16="http://schemas.microsoft.com/office/drawing/2014/chart" uri="{C3380CC4-5D6E-409C-BE32-E72D297353CC}">
              <c16:uniqueId val="{00000004-4A1A-42DB-A6F4-DD6B40FFBFF1}"/>
            </c:ext>
          </c:extLst>
        </c:ser>
        <c:dLbls>
          <c:showLegendKey val="0"/>
          <c:showVal val="0"/>
          <c:showCatName val="0"/>
          <c:showSerName val="0"/>
          <c:showPercent val="0"/>
          <c:showBubbleSize val="0"/>
        </c:dLbls>
        <c:gapWidth val="182"/>
        <c:axId val="644592320"/>
        <c:axId val="644616320"/>
      </c:barChart>
      <c:catAx>
        <c:axId val="64459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16320"/>
        <c:crosses val="autoZero"/>
        <c:auto val="1"/>
        <c:lblAlgn val="ctr"/>
        <c:lblOffset val="100"/>
        <c:noMultiLvlLbl val="0"/>
      </c:catAx>
      <c:valAx>
        <c:axId val="6446163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59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PivotTables!$B$29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682-45A2-9606-EA441A4DBC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682-45A2-9606-EA441A4DBCD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682-45A2-9606-EA441A4DBCD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682-45A2-9606-EA441A4DBCD3}"/>
              </c:ext>
            </c:extLst>
          </c:dPt>
          <c:cat>
            <c:strRef>
              <c:f>PivotTables!$A$30:$A$34</c:f>
              <c:strCache>
                <c:ptCount val="4"/>
                <c:pt idx="0">
                  <c:v>Cash</c:v>
                </c:pt>
                <c:pt idx="1">
                  <c:v>Credit Card</c:v>
                </c:pt>
                <c:pt idx="2">
                  <c:v>Debit Card</c:v>
                </c:pt>
                <c:pt idx="3">
                  <c:v>Gcash</c:v>
                </c:pt>
              </c:strCache>
            </c:strRef>
          </c:cat>
          <c:val>
            <c:numRef>
              <c:f>PivotTables!$B$30:$B$34</c:f>
              <c:numCache>
                <c:formatCode>General</c:formatCode>
                <c:ptCount val="4"/>
                <c:pt idx="0">
                  <c:v>6</c:v>
                </c:pt>
                <c:pt idx="1">
                  <c:v>8</c:v>
                </c:pt>
                <c:pt idx="2">
                  <c:v>2</c:v>
                </c:pt>
                <c:pt idx="3">
                  <c:v>4</c:v>
                </c:pt>
              </c:numCache>
            </c:numRef>
          </c:val>
          <c:extLst>
            <c:ext xmlns:c16="http://schemas.microsoft.com/office/drawing/2014/chart" uri="{C3380CC4-5D6E-409C-BE32-E72D297353CC}">
              <c16:uniqueId val="{00000000-AFCA-43E7-88EF-DDDD5100FC1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c:f>
              <c:strCache>
                <c:ptCount val="1"/>
                <c:pt idx="0">
                  <c:v>Total</c:v>
                </c:pt>
              </c:strCache>
            </c:strRef>
          </c:tx>
          <c:spPr>
            <a:solidFill>
              <a:schemeClr val="accent1"/>
            </a:solidFill>
            <a:ln>
              <a:noFill/>
            </a:ln>
            <a:effectLst/>
          </c:spPr>
          <c:invertIfNegative val="0"/>
          <c:cat>
            <c:strRef>
              <c:f>PivotTables!$A$4:$A$12</c:f>
              <c:strCache>
                <c:ptCount val="8"/>
                <c:pt idx="0">
                  <c:v>Desk</c:v>
                </c:pt>
                <c:pt idx="1">
                  <c:v>Headphones</c:v>
                </c:pt>
                <c:pt idx="2">
                  <c:v>Keyboard</c:v>
                </c:pt>
                <c:pt idx="3">
                  <c:v>Laptop</c:v>
                </c:pt>
                <c:pt idx="4">
                  <c:v>Monitor</c:v>
                </c:pt>
                <c:pt idx="5">
                  <c:v>Mouse</c:v>
                </c:pt>
                <c:pt idx="6">
                  <c:v>Office Chair</c:v>
                </c:pt>
                <c:pt idx="7">
                  <c:v>Table</c:v>
                </c:pt>
              </c:strCache>
            </c:strRef>
          </c:cat>
          <c:val>
            <c:numRef>
              <c:f>PivotTables!$B$4:$B$12</c:f>
              <c:numCache>
                <c:formatCode>General</c:formatCode>
                <c:ptCount val="8"/>
                <c:pt idx="0">
                  <c:v>16000</c:v>
                </c:pt>
                <c:pt idx="1">
                  <c:v>9000</c:v>
                </c:pt>
                <c:pt idx="2">
                  <c:v>2400</c:v>
                </c:pt>
                <c:pt idx="3">
                  <c:v>135000</c:v>
                </c:pt>
                <c:pt idx="4">
                  <c:v>24000</c:v>
                </c:pt>
                <c:pt idx="5">
                  <c:v>7000</c:v>
                </c:pt>
                <c:pt idx="6">
                  <c:v>11000</c:v>
                </c:pt>
                <c:pt idx="7">
                  <c:v>20000</c:v>
                </c:pt>
              </c:numCache>
            </c:numRef>
          </c:val>
          <c:extLst>
            <c:ext xmlns:c16="http://schemas.microsoft.com/office/drawing/2014/chart" uri="{C3380CC4-5D6E-409C-BE32-E72D297353CC}">
              <c16:uniqueId val="{00000000-CB0F-4195-BA32-76ED3CA175C5}"/>
            </c:ext>
          </c:extLst>
        </c:ser>
        <c:dLbls>
          <c:showLegendKey val="0"/>
          <c:showVal val="0"/>
          <c:showCatName val="0"/>
          <c:showSerName val="0"/>
          <c:showPercent val="0"/>
          <c:showBubbleSize val="0"/>
        </c:dLbls>
        <c:gapWidth val="219"/>
        <c:overlap val="-27"/>
        <c:axId val="383607200"/>
        <c:axId val="383607680"/>
      </c:barChart>
      <c:catAx>
        <c:axId val="38360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607680"/>
        <c:crosses val="autoZero"/>
        <c:auto val="1"/>
        <c:lblAlgn val="ctr"/>
        <c:lblOffset val="100"/>
        <c:noMultiLvlLbl val="0"/>
      </c:catAx>
      <c:valAx>
        <c:axId val="383607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607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pieChart>
        <c:varyColors val="1"/>
        <c:ser>
          <c:idx val="0"/>
          <c:order val="0"/>
          <c:tx>
            <c:strRef>
              <c:f>PivotTables!$B$29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06-4C3D-8524-2E2727017F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06-4C3D-8524-2E2727017F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006-4C3D-8524-2E2727017F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006-4C3D-8524-2E2727017F68}"/>
              </c:ext>
            </c:extLst>
          </c:dPt>
          <c:cat>
            <c:strRef>
              <c:f>PivotTables!$A$30:$A$34</c:f>
              <c:strCache>
                <c:ptCount val="4"/>
                <c:pt idx="0">
                  <c:v>Cash</c:v>
                </c:pt>
                <c:pt idx="1">
                  <c:v>Credit Card</c:v>
                </c:pt>
                <c:pt idx="2">
                  <c:v>Debit Card</c:v>
                </c:pt>
                <c:pt idx="3">
                  <c:v>Gcash</c:v>
                </c:pt>
              </c:strCache>
            </c:strRef>
          </c:cat>
          <c:val>
            <c:numRef>
              <c:f>PivotTables!$B$30:$B$34</c:f>
              <c:numCache>
                <c:formatCode>General</c:formatCode>
                <c:ptCount val="4"/>
                <c:pt idx="0">
                  <c:v>6</c:v>
                </c:pt>
                <c:pt idx="1">
                  <c:v>8</c:v>
                </c:pt>
                <c:pt idx="2">
                  <c:v>2</c:v>
                </c:pt>
                <c:pt idx="3">
                  <c:v>4</c:v>
                </c:pt>
              </c:numCache>
            </c:numRef>
          </c:val>
          <c:extLst>
            <c:ext xmlns:c16="http://schemas.microsoft.com/office/drawing/2014/chart" uri="{C3380CC4-5D6E-409C-BE32-E72D297353CC}">
              <c16:uniqueId val="{00000008-6006-4C3D-8524-2E2727017F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26857968257324"/>
          <c:y val="0.15804635460362063"/>
          <c:w val="0.51312112831533641"/>
          <c:h val="0.72324623735255178"/>
        </c:manualLayout>
      </c:layout>
      <c:barChart>
        <c:barDir val="bar"/>
        <c:grouping val="clustered"/>
        <c:varyColors val="0"/>
        <c:ser>
          <c:idx val="0"/>
          <c:order val="0"/>
          <c:tx>
            <c:strRef>
              <c:f>PivotTables!$B$18:$B$19</c:f>
              <c:strCache>
                <c:ptCount val="1"/>
                <c:pt idx="0">
                  <c:v>Electronics</c:v>
                </c:pt>
              </c:strCache>
            </c:strRef>
          </c:tx>
          <c:spPr>
            <a:solidFill>
              <a:schemeClr val="accent1"/>
            </a:solidFill>
            <a:ln>
              <a:noFill/>
            </a:ln>
            <a:effectLst/>
          </c:spPr>
          <c:invertIfNegative val="0"/>
          <c:cat>
            <c:strRef>
              <c:f>PivotTables!$A$20:$A$23</c:f>
              <c:strCache>
                <c:ptCount val="3"/>
                <c:pt idx="0">
                  <c:v>Cebu</c:v>
                </c:pt>
                <c:pt idx="1">
                  <c:v>Davao</c:v>
                </c:pt>
                <c:pt idx="2">
                  <c:v>Manila</c:v>
                </c:pt>
              </c:strCache>
            </c:strRef>
          </c:cat>
          <c:val>
            <c:numRef>
              <c:f>PivotTables!$B$20:$B$23</c:f>
              <c:numCache>
                <c:formatCode>General</c:formatCode>
                <c:ptCount val="3"/>
                <c:pt idx="0">
                  <c:v>70600</c:v>
                </c:pt>
                <c:pt idx="2">
                  <c:v>106800</c:v>
                </c:pt>
              </c:numCache>
            </c:numRef>
          </c:val>
          <c:extLst>
            <c:ext xmlns:c16="http://schemas.microsoft.com/office/drawing/2014/chart" uri="{C3380CC4-5D6E-409C-BE32-E72D297353CC}">
              <c16:uniqueId val="{00000000-630E-4916-9FF8-020495C6E0C4}"/>
            </c:ext>
          </c:extLst>
        </c:ser>
        <c:ser>
          <c:idx val="1"/>
          <c:order val="1"/>
          <c:tx>
            <c:strRef>
              <c:f>PivotTables!$C$18:$C$19</c:f>
              <c:strCache>
                <c:ptCount val="1"/>
                <c:pt idx="0">
                  <c:v>Furniture</c:v>
                </c:pt>
              </c:strCache>
            </c:strRef>
          </c:tx>
          <c:spPr>
            <a:solidFill>
              <a:schemeClr val="accent2"/>
            </a:solidFill>
            <a:ln>
              <a:noFill/>
            </a:ln>
            <a:effectLst/>
          </c:spPr>
          <c:invertIfNegative val="0"/>
          <c:cat>
            <c:strRef>
              <c:f>PivotTables!$A$20:$A$23</c:f>
              <c:strCache>
                <c:ptCount val="3"/>
                <c:pt idx="0">
                  <c:v>Cebu</c:v>
                </c:pt>
                <c:pt idx="1">
                  <c:v>Davao</c:v>
                </c:pt>
                <c:pt idx="2">
                  <c:v>Manila</c:v>
                </c:pt>
              </c:strCache>
            </c:strRef>
          </c:cat>
          <c:val>
            <c:numRef>
              <c:f>PivotTables!$C$20:$C$23</c:f>
              <c:numCache>
                <c:formatCode>General</c:formatCode>
                <c:ptCount val="3"/>
                <c:pt idx="1">
                  <c:v>29000</c:v>
                </c:pt>
                <c:pt idx="2">
                  <c:v>18000</c:v>
                </c:pt>
              </c:numCache>
            </c:numRef>
          </c:val>
          <c:extLst>
            <c:ext xmlns:c16="http://schemas.microsoft.com/office/drawing/2014/chart" uri="{C3380CC4-5D6E-409C-BE32-E72D297353CC}">
              <c16:uniqueId val="{00000003-630E-4916-9FF8-020495C6E0C4}"/>
            </c:ext>
          </c:extLst>
        </c:ser>
        <c:dLbls>
          <c:showLegendKey val="0"/>
          <c:showVal val="0"/>
          <c:showCatName val="0"/>
          <c:showSerName val="0"/>
          <c:showPercent val="0"/>
          <c:showBubbleSize val="0"/>
        </c:dLbls>
        <c:gapWidth val="182"/>
        <c:axId val="644592320"/>
        <c:axId val="644616320"/>
      </c:barChart>
      <c:catAx>
        <c:axId val="64459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16320"/>
        <c:crosses val="autoZero"/>
        <c:auto val="1"/>
        <c:lblAlgn val="ctr"/>
        <c:lblOffset val="100"/>
        <c:noMultiLvlLbl val="0"/>
      </c:catAx>
      <c:valAx>
        <c:axId val="6446163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59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454025</xdr:colOff>
      <xdr:row>0</xdr:row>
      <xdr:rowOff>95250</xdr:rowOff>
    </xdr:from>
    <xdr:to>
      <xdr:col>8</xdr:col>
      <xdr:colOff>749300</xdr:colOff>
      <xdr:row>15</xdr:row>
      <xdr:rowOff>63500</xdr:rowOff>
    </xdr:to>
    <xdr:graphicFrame macro="">
      <xdr:nvGraphicFramePr>
        <xdr:cNvPr id="6" name="Chart 5">
          <a:extLst>
            <a:ext uri="{FF2B5EF4-FFF2-40B4-BE49-F238E27FC236}">
              <a16:creationId xmlns:a16="http://schemas.microsoft.com/office/drawing/2014/main" id="{B8ECA858-D47C-52FB-7822-4D9D33B951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511175</xdr:colOff>
      <xdr:row>15</xdr:row>
      <xdr:rowOff>155575</xdr:rowOff>
    </xdr:from>
    <xdr:to>
      <xdr:col>9</xdr:col>
      <xdr:colOff>711758</xdr:colOff>
      <xdr:row>27</xdr:row>
      <xdr:rowOff>6978</xdr:rowOff>
    </xdr:to>
    <xdr:graphicFrame macro="">
      <xdr:nvGraphicFramePr>
        <xdr:cNvPr id="7" name="Chart 6">
          <a:extLst>
            <a:ext uri="{FF2B5EF4-FFF2-40B4-BE49-F238E27FC236}">
              <a16:creationId xmlns:a16="http://schemas.microsoft.com/office/drawing/2014/main" id="{B38E1C8D-EE53-A287-3085-84F90D66B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219109</xdr:colOff>
      <xdr:row>27</xdr:row>
      <xdr:rowOff>114719</xdr:rowOff>
    </xdr:from>
    <xdr:to>
      <xdr:col>8</xdr:col>
      <xdr:colOff>27912</xdr:colOff>
      <xdr:row>38</xdr:row>
      <xdr:rowOff>160495</xdr:rowOff>
    </xdr:to>
    <xdr:graphicFrame macro="">
      <xdr:nvGraphicFramePr>
        <xdr:cNvPr id="8" name="Chart 7">
          <a:extLst>
            <a:ext uri="{FF2B5EF4-FFF2-40B4-BE49-F238E27FC236}">
              <a16:creationId xmlns:a16="http://schemas.microsoft.com/office/drawing/2014/main" id="{B8A23124-8645-C09B-14BF-4560C1584A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163618</xdr:colOff>
      <xdr:row>17</xdr:row>
      <xdr:rowOff>139957</xdr:rowOff>
    </xdr:from>
    <xdr:to>
      <xdr:col>15</xdr:col>
      <xdr:colOff>575733</xdr:colOff>
      <xdr:row>31</xdr:row>
      <xdr:rowOff>170366</xdr:rowOff>
    </xdr:to>
    <xdr:graphicFrame macro="">
      <xdr:nvGraphicFramePr>
        <xdr:cNvPr id="2" name="Chart 1">
          <a:extLst>
            <a:ext uri="{FF2B5EF4-FFF2-40B4-BE49-F238E27FC236}">
              <a16:creationId xmlns:a16="http://schemas.microsoft.com/office/drawing/2014/main" id="{EC34CDA0-0252-42C5-AEF0-A87826113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8466</xdr:colOff>
      <xdr:row>11</xdr:row>
      <xdr:rowOff>101600</xdr:rowOff>
    </xdr:from>
    <xdr:to>
      <xdr:col>3</xdr:col>
      <xdr:colOff>8466</xdr:colOff>
      <xdr:row>18</xdr:row>
      <xdr:rowOff>110066</xdr:rowOff>
    </xdr:to>
    <mc:AlternateContent xmlns:mc="http://schemas.openxmlformats.org/markup-compatibility/2006" xmlns:a14="http://schemas.microsoft.com/office/drawing/2010/main">
      <mc:Choice Requires="a14">
        <xdr:graphicFrame macro="">
          <xdr:nvGraphicFramePr>
            <xdr:cNvPr id="5" name="Age">
              <a:extLst>
                <a:ext uri="{FF2B5EF4-FFF2-40B4-BE49-F238E27FC236}">
                  <a16:creationId xmlns:a16="http://schemas.microsoft.com/office/drawing/2014/main" id="{1E1CFA1C-21DF-DB01-5E12-4EBF499797A2}"/>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8466" y="2150533"/>
              <a:ext cx="1828800" cy="13123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19050</xdr:rowOff>
    </xdr:from>
    <xdr:to>
      <xdr:col>3</xdr:col>
      <xdr:colOff>0</xdr:colOff>
      <xdr:row>11</xdr:row>
      <xdr:rowOff>84667</xdr:rowOff>
    </xdr:to>
    <mc:AlternateContent xmlns:mc="http://schemas.openxmlformats.org/markup-compatibility/2006" xmlns:a14="http://schemas.microsoft.com/office/drawing/2010/main">
      <mc:Choice Requires="a14">
        <xdr:graphicFrame macro="">
          <xdr:nvGraphicFramePr>
            <xdr:cNvPr id="6" name="City">
              <a:extLst>
                <a:ext uri="{FF2B5EF4-FFF2-40B4-BE49-F238E27FC236}">
                  <a16:creationId xmlns:a16="http://schemas.microsoft.com/office/drawing/2014/main" id="{73192949-E5DF-6A3C-8C97-4B3F97DDD9B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0" y="950383"/>
              <a:ext cx="1828800" cy="11832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133350</xdr:rowOff>
    </xdr:from>
    <xdr:to>
      <xdr:col>3</xdr:col>
      <xdr:colOff>0</xdr:colOff>
      <xdr:row>23</xdr:row>
      <xdr:rowOff>152400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E10E52A4-8D53-E487-4971-C7C5E512C9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3486150"/>
              <a:ext cx="1828800" cy="9503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179917</xdr:rowOff>
    </xdr:from>
    <xdr:to>
      <xdr:col>3</xdr:col>
      <xdr:colOff>0</xdr:colOff>
      <xdr:row>31</xdr:row>
      <xdr:rowOff>160866</xdr:rowOff>
    </xdr:to>
    <mc:AlternateContent xmlns:mc="http://schemas.openxmlformats.org/markup-compatibility/2006" xmlns:a14="http://schemas.microsoft.com/office/drawing/2010/main">
      <mc:Choice Requires="a14">
        <xdr:graphicFrame macro="">
          <xdr:nvGraphicFramePr>
            <xdr:cNvPr id="9" name="Product">
              <a:extLst>
                <a:ext uri="{FF2B5EF4-FFF2-40B4-BE49-F238E27FC236}">
                  <a16:creationId xmlns:a16="http://schemas.microsoft.com/office/drawing/2014/main" id="{F6FAFBAD-5118-E4D8-FC7B-E484E7422C0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0" y="4464050"/>
              <a:ext cx="1828800" cy="14710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203200</xdr:colOff>
      <xdr:row>5</xdr:row>
      <xdr:rowOff>42333</xdr:rowOff>
    </xdr:from>
    <xdr:to>
      <xdr:col>9</xdr:col>
      <xdr:colOff>417845</xdr:colOff>
      <xdr:row>17</xdr:row>
      <xdr:rowOff>33866</xdr:rowOff>
    </xdr:to>
    <xdr:graphicFrame macro="">
      <xdr:nvGraphicFramePr>
        <xdr:cNvPr id="7" name="Chart 6">
          <a:extLst>
            <a:ext uri="{FF2B5EF4-FFF2-40B4-BE49-F238E27FC236}">
              <a16:creationId xmlns:a16="http://schemas.microsoft.com/office/drawing/2014/main" id="{AC9147B2-FC24-42B0-A7CF-7DC6B0531E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491068</xdr:colOff>
      <xdr:row>5</xdr:row>
      <xdr:rowOff>50801</xdr:rowOff>
    </xdr:from>
    <xdr:to>
      <xdr:col>15</xdr:col>
      <xdr:colOff>567268</xdr:colOff>
      <xdr:row>17</xdr:row>
      <xdr:rowOff>16935</xdr:rowOff>
    </xdr:to>
    <xdr:graphicFrame macro="">
      <xdr:nvGraphicFramePr>
        <xdr:cNvPr id="10" name="Chart 9">
          <a:extLst>
            <a:ext uri="{FF2B5EF4-FFF2-40B4-BE49-F238E27FC236}">
              <a16:creationId xmlns:a16="http://schemas.microsoft.com/office/drawing/2014/main" id="{CCFF677C-8918-4EA5-AC3F-E6C9E6B98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077.134362268516" createdVersion="8" refreshedVersion="8" minRefreshableVersion="3" recordCount="20" xr:uid="{46752B04-4141-4329-8BCC-0099EC5A8AB7}">
  <cacheSource type="worksheet">
    <worksheetSource name="Table2"/>
  </cacheSource>
  <cacheFields count="12">
    <cacheField name="Order_ID" numFmtId="0">
      <sharedItems containsSemiMixedTypes="0" containsString="0" containsNumber="1" containsInteger="1" minValue="1001" maxValue="1020"/>
    </cacheField>
    <cacheField name="Customer_Name" numFmtId="0">
      <sharedItems/>
    </cacheField>
    <cacheField name="Gender" numFmtId="0">
      <sharedItems count="2">
        <s v="Male"/>
        <s v="Female"/>
      </sharedItems>
    </cacheField>
    <cacheField name="Age" numFmtId="0">
      <sharedItems containsSemiMixedTypes="0" containsString="0" containsNumber="1" containsInteger="1" minValue="19" maxValue="41" count="10">
        <n v="28"/>
        <n v="22"/>
        <n v="35"/>
        <n v="30"/>
        <n v="41"/>
        <n v="19"/>
        <n v="27"/>
        <n v="29"/>
        <n v="33"/>
        <n v="25"/>
      </sharedItems>
    </cacheField>
    <cacheField name="City" numFmtId="0">
      <sharedItems count="3">
        <s v="Manila"/>
        <s v="Cebu"/>
        <s v="Davao"/>
      </sharedItems>
    </cacheField>
    <cacheField name="Order_Date" numFmtId="164">
      <sharedItems containsSemiMixedTypes="0" containsNonDate="0" containsDate="1" containsString="0" minDate="2024-01-05T00:00:00" maxDate="2024-05-02T00:00:00"/>
    </cacheField>
    <cacheField name="Product" numFmtId="0">
      <sharedItems count="8">
        <s v="Laptop"/>
        <s v="Headphones"/>
        <s v="Office Chair"/>
        <s v="Desk"/>
        <s v="Mouse"/>
        <s v="Keyboard"/>
        <s v="Table"/>
        <s v="Monitor"/>
      </sharedItems>
    </cacheField>
    <cacheField name="Category" numFmtId="0">
      <sharedItems count="2">
        <s v="Electronic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700" maxValue="45000"/>
    </cacheField>
    <cacheField name="Total_Amount" numFmtId="0">
      <sharedItems containsSemiMixedTypes="0" containsString="0" containsNumber="1" containsInteger="1" minValue="1200" maxValue="45000"/>
    </cacheField>
    <cacheField name="Payment_Method" numFmtId="0">
      <sharedItems count="4">
        <s v="Credit Card"/>
        <s v="Cash"/>
        <s v="Gcash"/>
        <s v="Debit Card"/>
      </sharedItems>
    </cacheField>
  </cacheFields>
  <extLst>
    <ext xmlns:x14="http://schemas.microsoft.com/office/spreadsheetml/2009/9/main" uri="{725AE2AE-9491-48be-B2B4-4EB974FC3084}">
      <x14:pivotCacheDefinition pivotCacheId="7371340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001"/>
    <s v="John Cruz"/>
    <x v="0"/>
    <x v="0"/>
    <x v="0"/>
    <d v="2024-05-01T00:00:00"/>
    <x v="0"/>
    <x v="0"/>
    <n v="1"/>
    <n v="45000"/>
    <n v="45000"/>
    <x v="0"/>
  </r>
  <r>
    <n v="1002"/>
    <s v="Anna Reyes"/>
    <x v="1"/>
    <x v="1"/>
    <x v="1"/>
    <d v="2024-01-07T00:00:00"/>
    <x v="1"/>
    <x v="0"/>
    <n v="2"/>
    <n v="1500"/>
    <n v="3000"/>
    <x v="1"/>
  </r>
  <r>
    <n v="1003"/>
    <s v="Marco Santos"/>
    <x v="0"/>
    <x v="2"/>
    <x v="2"/>
    <d v="2024-01-05T00:00:00"/>
    <x v="2"/>
    <x v="1"/>
    <n v="1"/>
    <n v="5500"/>
    <n v="5500"/>
    <x v="2"/>
  </r>
  <r>
    <n v="1004"/>
    <s v="Liza dela Cruz"/>
    <x v="1"/>
    <x v="3"/>
    <x v="0"/>
    <d v="2024-01-10T00:00:00"/>
    <x v="3"/>
    <x v="1"/>
    <n v="1"/>
    <n v="8000"/>
    <n v="8000"/>
    <x v="0"/>
  </r>
  <r>
    <n v="1005"/>
    <s v="Paul Tan"/>
    <x v="0"/>
    <x v="4"/>
    <x v="1"/>
    <d v="2024-01-12T00:00:00"/>
    <x v="4"/>
    <x v="0"/>
    <n v="3"/>
    <n v="700"/>
    <n v="2100"/>
    <x v="1"/>
  </r>
  <r>
    <n v="1006"/>
    <s v="Anna Reyes"/>
    <x v="1"/>
    <x v="1"/>
    <x v="1"/>
    <d v="2024-01-07T00:00:00"/>
    <x v="1"/>
    <x v="0"/>
    <n v="2"/>
    <n v="1500"/>
    <n v="3000"/>
    <x v="1"/>
  </r>
  <r>
    <n v="1007"/>
    <s v="Kevin Lim"/>
    <x v="0"/>
    <x v="5"/>
    <x v="0"/>
    <d v="2024-01-13T00:00:00"/>
    <x v="5"/>
    <x v="0"/>
    <n v="1"/>
    <n v="1200"/>
    <n v="1200"/>
    <x v="3"/>
  </r>
  <r>
    <n v="1008"/>
    <s v="Unknown"/>
    <x v="1"/>
    <x v="3"/>
    <x v="2"/>
    <d v="2024-01-15T00:00:00"/>
    <x v="6"/>
    <x v="1"/>
    <n v="1"/>
    <n v="10000"/>
    <n v="10000"/>
    <x v="0"/>
  </r>
  <r>
    <n v="1009"/>
    <s v="Grace Lee"/>
    <x v="1"/>
    <x v="6"/>
    <x v="0"/>
    <d v="2024-01-17T00:00:00"/>
    <x v="0"/>
    <x v="0"/>
    <n v="1"/>
    <n v="45000"/>
    <n v="45000"/>
    <x v="0"/>
  </r>
  <r>
    <n v="1010"/>
    <s v="Mark Ong"/>
    <x v="0"/>
    <x v="3"/>
    <x v="1"/>
    <d v="2024-01-18T00:00:00"/>
    <x v="7"/>
    <x v="0"/>
    <n v="2"/>
    <n v="8000"/>
    <n v="16000"/>
    <x v="2"/>
  </r>
  <r>
    <n v="1011"/>
    <s v="Claire Yu"/>
    <x v="1"/>
    <x v="7"/>
    <x v="2"/>
    <d v="2024-01-18T00:00:00"/>
    <x v="3"/>
    <x v="1"/>
    <n v="1"/>
    <n v="8000"/>
    <n v="8000"/>
    <x v="0"/>
  </r>
  <r>
    <n v="1012"/>
    <s v="Ryan Co"/>
    <x v="0"/>
    <x v="8"/>
    <x v="0"/>
    <d v="2024-01-20T00:00:00"/>
    <x v="4"/>
    <x v="0"/>
    <n v="5"/>
    <n v="700"/>
    <n v="3500"/>
    <x v="1"/>
  </r>
  <r>
    <n v="1013"/>
    <s v="Trisha Lim"/>
    <x v="1"/>
    <x v="9"/>
    <x v="0"/>
    <d v="2024-01-21T00:00:00"/>
    <x v="1"/>
    <x v="0"/>
    <n v="1"/>
    <n v="1500"/>
    <n v="1500"/>
    <x v="0"/>
  </r>
  <r>
    <n v="1014"/>
    <s v="Kevin Lim"/>
    <x v="0"/>
    <x v="5"/>
    <x v="0"/>
    <d v="2024-01-22T00:00:00"/>
    <x v="5"/>
    <x v="0"/>
    <n v="1"/>
    <n v="1200"/>
    <n v="1200"/>
    <x v="3"/>
  </r>
  <r>
    <n v="1015"/>
    <s v="Paul Tan"/>
    <x v="0"/>
    <x v="4"/>
    <x v="1"/>
    <d v="2024-01-23T00:00:00"/>
    <x v="0"/>
    <x v="0"/>
    <n v="1"/>
    <n v="45000"/>
    <n v="45000"/>
    <x v="1"/>
  </r>
  <r>
    <n v="1016"/>
    <s v="Liza dela Cruz"/>
    <x v="1"/>
    <x v="3"/>
    <x v="0"/>
    <d v="2024-01-25T00:00:00"/>
    <x v="6"/>
    <x v="1"/>
    <n v="1"/>
    <n v="10000"/>
    <n v="10000"/>
    <x v="0"/>
  </r>
  <r>
    <n v="1017"/>
    <s v="Grace Lee"/>
    <x v="1"/>
    <x v="6"/>
    <x v="0"/>
    <d v="2024-01-26T00:00:00"/>
    <x v="4"/>
    <x v="0"/>
    <n v="2"/>
    <n v="700"/>
    <n v="1400"/>
    <x v="2"/>
  </r>
  <r>
    <n v="1018"/>
    <s v="Marco Santos"/>
    <x v="0"/>
    <x v="2"/>
    <x v="2"/>
    <d v="2024-01-26T00:00:00"/>
    <x v="2"/>
    <x v="1"/>
    <n v="1"/>
    <n v="5500"/>
    <n v="5500"/>
    <x v="2"/>
  </r>
  <r>
    <n v="1019"/>
    <s v="John Cruz"/>
    <x v="0"/>
    <x v="0"/>
    <x v="0"/>
    <d v="2024-01-28T00:00:00"/>
    <x v="7"/>
    <x v="0"/>
    <n v="1"/>
    <n v="8000"/>
    <n v="8000"/>
    <x v="0"/>
  </r>
  <r>
    <n v="1020"/>
    <s v="Anna Reyes"/>
    <x v="1"/>
    <x v="1"/>
    <x v="1"/>
    <d v="2024-01-29T00:00:00"/>
    <x v="1"/>
    <x v="0"/>
    <n v="1"/>
    <n v="1500"/>
    <n v="15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BA2A5C-C53F-4ADE-AB5C-F23C730D4D5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2" firstHeaderRow="1" firstDataRow="1" firstDataCol="1"/>
  <pivotFields count="12">
    <pivotField showAll="0"/>
    <pivotField showAll="0"/>
    <pivotField showAll="0">
      <items count="3">
        <item x="1"/>
        <item x="0"/>
        <item t="default"/>
      </items>
    </pivotField>
    <pivotField showAll="0"/>
    <pivotField showAll="0">
      <items count="4">
        <item x="1"/>
        <item x="2"/>
        <item x="0"/>
        <item t="default"/>
      </items>
    </pivotField>
    <pivotField numFmtId="164" showAll="0"/>
    <pivotField axis="axisRow" showAll="0">
      <items count="9">
        <item x="3"/>
        <item x="1"/>
        <item x="5"/>
        <item x="0"/>
        <item x="7"/>
        <item x="4"/>
        <item x="2"/>
        <item x="6"/>
        <item t="default"/>
      </items>
    </pivotField>
    <pivotField showAll="0"/>
    <pivotField showAll="0"/>
    <pivotField showAll="0"/>
    <pivotField dataField="1" showAll="0"/>
    <pivotField showAll="0"/>
  </pivotFields>
  <rowFields count="1">
    <field x="6"/>
  </rowFields>
  <rowItems count="9">
    <i>
      <x/>
    </i>
    <i>
      <x v="1"/>
    </i>
    <i>
      <x v="2"/>
    </i>
    <i>
      <x v="3"/>
    </i>
    <i>
      <x v="4"/>
    </i>
    <i>
      <x v="5"/>
    </i>
    <i>
      <x v="6"/>
    </i>
    <i>
      <x v="7"/>
    </i>
    <i t="grand">
      <x/>
    </i>
  </rowItems>
  <colItems count="1">
    <i/>
  </colItems>
  <dataFields count="1">
    <dataField name="Sum of Total_Amount" fld="10" baseField="0" baseItem="0"/>
  </dataFields>
  <chartFormats count="8">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BD482C-690B-4130-9F0B-A111C9F212A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9:B34" firstHeaderRow="1" firstDataRow="1" firstDataCol="1"/>
  <pivotFields count="12">
    <pivotField dataField="1" showAll="0"/>
    <pivotField showAll="0"/>
    <pivotField showAll="0">
      <items count="3">
        <item x="1"/>
        <item x="0"/>
        <item t="default"/>
      </items>
    </pivotField>
    <pivotField showAll="0">
      <items count="11">
        <item x="5"/>
        <item x="1"/>
        <item x="9"/>
        <item x="6"/>
        <item x="0"/>
        <item x="7"/>
        <item x="3"/>
        <item x="8"/>
        <item x="2"/>
        <item x="4"/>
        <item t="default"/>
      </items>
    </pivotField>
    <pivotField showAll="0">
      <items count="4">
        <item x="1"/>
        <item x="2"/>
        <item x="0"/>
        <item t="default"/>
      </items>
    </pivotField>
    <pivotField numFmtId="164" showAll="0"/>
    <pivotField showAll="0">
      <items count="9">
        <item x="3"/>
        <item x="1"/>
        <item x="5"/>
        <item x="0"/>
        <item x="7"/>
        <item x="4"/>
        <item x="2"/>
        <item x="6"/>
        <item t="default"/>
      </items>
    </pivotField>
    <pivotField showAll="0"/>
    <pivotField showAll="0"/>
    <pivotField showAll="0"/>
    <pivotField showAll="0"/>
    <pivotField axis="axisRow" showAll="0">
      <items count="5">
        <item x="1"/>
        <item x="0"/>
        <item x="3"/>
        <item x="2"/>
        <item t="default"/>
      </items>
    </pivotField>
  </pivotFields>
  <rowFields count="1">
    <field x="11"/>
  </rowFields>
  <rowItems count="5">
    <i>
      <x/>
    </i>
    <i>
      <x v="1"/>
    </i>
    <i>
      <x v="2"/>
    </i>
    <i>
      <x v="3"/>
    </i>
    <i t="grand">
      <x/>
    </i>
  </rowItems>
  <colItems count="1">
    <i/>
  </colItems>
  <dataFields count="1">
    <dataField name="Count of Order_ID" fld="0" subtotal="count" baseField="11" baseItem="0"/>
  </dataFields>
  <chartFormats count="17">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1" count="1" selected="0">
            <x v="0"/>
          </reference>
        </references>
      </pivotArea>
    </chartFormat>
    <chartFormat chart="3" format="8">
      <pivotArea type="data" outline="0" fieldPosition="0">
        <references count="2">
          <reference field="4294967294" count="1" selected="0">
            <x v="0"/>
          </reference>
          <reference field="11" count="1" selected="0">
            <x v="1"/>
          </reference>
        </references>
      </pivotArea>
    </chartFormat>
    <chartFormat chart="3" format="9">
      <pivotArea type="data" outline="0" fieldPosition="0">
        <references count="2">
          <reference field="4294967294" count="1" selected="0">
            <x v="0"/>
          </reference>
          <reference field="11" count="1" selected="0">
            <x v="2"/>
          </reference>
        </references>
      </pivotArea>
    </chartFormat>
    <chartFormat chart="3" format="10">
      <pivotArea type="data" outline="0" fieldPosition="0">
        <references count="2">
          <reference field="4294967294" count="1" selected="0">
            <x v="0"/>
          </reference>
          <reference field="11" count="1" selected="0">
            <x v="3"/>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11" count="1" selected="0">
            <x v="0"/>
          </reference>
        </references>
      </pivotArea>
    </chartFormat>
    <chartFormat chart="4" format="2">
      <pivotArea type="data" outline="0" fieldPosition="0">
        <references count="2">
          <reference field="4294967294" count="1" selected="0">
            <x v="0"/>
          </reference>
          <reference field="11" count="1" selected="0">
            <x v="1"/>
          </reference>
        </references>
      </pivotArea>
    </chartFormat>
    <chartFormat chart="4" format="3">
      <pivotArea type="data" outline="0" fieldPosition="0">
        <references count="2">
          <reference field="4294967294" count="1" selected="0">
            <x v="0"/>
          </reference>
          <reference field="11" count="1" selected="0">
            <x v="2"/>
          </reference>
        </references>
      </pivotArea>
    </chartFormat>
    <chartFormat chart="4" format="4">
      <pivotArea type="data" outline="0" fieldPosition="0">
        <references count="2">
          <reference field="4294967294" count="1" selected="0">
            <x v="0"/>
          </reference>
          <reference field="11" count="1" selected="0">
            <x v="3"/>
          </reference>
        </references>
      </pivotArea>
    </chartFormat>
    <chartFormat chart="4" format="5">
      <pivotArea type="data" outline="0" fieldPosition="0">
        <references count="1">
          <reference field="4294967294" count="1" selected="0">
            <x v="0"/>
          </reference>
        </references>
      </pivotArea>
    </chartFormat>
    <chartFormat chart="7" format="11" series="1">
      <pivotArea type="data" outline="0" fieldPosition="0">
        <references count="1">
          <reference field="4294967294" count="1" selected="0">
            <x v="0"/>
          </reference>
        </references>
      </pivotArea>
    </chartFormat>
    <chartFormat chart="7" format="12">
      <pivotArea type="data" outline="0" fieldPosition="0">
        <references count="2">
          <reference field="4294967294" count="1" selected="0">
            <x v="0"/>
          </reference>
          <reference field="11" count="1" selected="0">
            <x v="0"/>
          </reference>
        </references>
      </pivotArea>
    </chartFormat>
    <chartFormat chart="7" format="13">
      <pivotArea type="data" outline="0" fieldPosition="0">
        <references count="2">
          <reference field="4294967294" count="1" selected="0">
            <x v="0"/>
          </reference>
          <reference field="11" count="1" selected="0">
            <x v="1"/>
          </reference>
        </references>
      </pivotArea>
    </chartFormat>
    <chartFormat chart="7" format="14">
      <pivotArea type="data" outline="0" fieldPosition="0">
        <references count="2">
          <reference field="4294967294" count="1" selected="0">
            <x v="0"/>
          </reference>
          <reference field="11" count="1" selected="0">
            <x v="2"/>
          </reference>
        </references>
      </pivotArea>
    </chartFormat>
    <chartFormat chart="7" format="15">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D169E5E-CD39-40A9-AEBF-6E9646644E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8:D23" firstHeaderRow="1" firstDataRow="2" firstDataCol="1"/>
  <pivotFields count="12">
    <pivotField showAll="0"/>
    <pivotField showAll="0"/>
    <pivotField showAll="0">
      <items count="3">
        <item x="1"/>
        <item x="0"/>
        <item t="default"/>
      </items>
    </pivotField>
    <pivotField showAll="0"/>
    <pivotField axis="axisRow" showAll="0">
      <items count="4">
        <item x="1"/>
        <item x="2"/>
        <item x="0"/>
        <item t="default"/>
      </items>
    </pivotField>
    <pivotField numFmtId="164" showAll="0"/>
    <pivotField showAll="0">
      <items count="9">
        <item x="3"/>
        <item x="1"/>
        <item x="5"/>
        <item x="0"/>
        <item x="7"/>
        <item x="4"/>
        <item x="2"/>
        <item x="6"/>
        <item t="default"/>
      </items>
    </pivotField>
    <pivotField axis="axisCol" showAll="0">
      <items count="3">
        <item x="0"/>
        <item x="1"/>
        <item t="default"/>
      </items>
    </pivotField>
    <pivotField showAll="0"/>
    <pivotField showAll="0"/>
    <pivotField dataField="1" showAll="0"/>
    <pivotField showAll="0"/>
  </pivotFields>
  <rowFields count="1">
    <field x="4"/>
  </rowFields>
  <rowItems count="4">
    <i>
      <x/>
    </i>
    <i>
      <x v="1"/>
    </i>
    <i>
      <x v="2"/>
    </i>
    <i t="grand">
      <x/>
    </i>
  </rowItems>
  <colFields count="1">
    <field x="7"/>
  </colFields>
  <colItems count="3">
    <i>
      <x/>
    </i>
    <i>
      <x v="1"/>
    </i>
    <i t="grand">
      <x/>
    </i>
  </colItems>
  <dataFields count="1">
    <dataField name="Sum of Total_Amount" fld="10" baseField="0" baseItem="0"/>
  </dataFields>
  <chartFormats count="12">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5" format="4" series="1">
      <pivotArea type="data" outline="0" fieldPosition="0">
        <references count="2">
          <reference field="4294967294" count="1" selected="0">
            <x v="0"/>
          </reference>
          <reference field="7" count="1" selected="0">
            <x v="0"/>
          </reference>
        </references>
      </pivotArea>
    </chartFormat>
    <chartFormat chart="5" format="5" series="1">
      <pivotArea type="data" outline="0" fieldPosition="0">
        <references count="2">
          <reference field="4294967294" count="1" selected="0">
            <x v="0"/>
          </reference>
          <reference field="7" count="1" selected="0">
            <x v="1"/>
          </reference>
        </references>
      </pivotArea>
    </chartFormat>
    <chartFormat chart="6" format="0" series="1">
      <pivotArea type="data" outline="0" fieldPosition="0">
        <references count="2">
          <reference field="4294967294" count="1" selected="0">
            <x v="0"/>
          </reference>
          <reference field="7" count="1" selected="0">
            <x v="0"/>
          </reference>
        </references>
      </pivotArea>
    </chartFormat>
    <chartFormat chart="6" format="1" series="1">
      <pivotArea type="data" outline="0" fieldPosition="0">
        <references count="2">
          <reference field="4294967294" count="1" selected="0">
            <x v="0"/>
          </reference>
          <reference field="7" count="1" selected="0">
            <x v="1"/>
          </reference>
        </references>
      </pivotArea>
    </chartFormat>
    <chartFormat chart="7" format="2" series="1">
      <pivotArea type="data" outline="0" fieldPosition="0">
        <references count="2">
          <reference field="4294967294" count="1" selected="0">
            <x v="0"/>
          </reference>
          <reference field="7" count="1" selected="0">
            <x v="0"/>
          </reference>
        </references>
      </pivotArea>
    </chartFormat>
    <chartFormat chart="7" format="3" series="1">
      <pivotArea type="data" outline="0" fieldPosition="0">
        <references count="2">
          <reference field="4294967294" count="1" selected="0">
            <x v="0"/>
          </reference>
          <reference field="7" count="1" selected="0">
            <x v="1"/>
          </reference>
        </references>
      </pivotArea>
    </chartFormat>
    <chartFormat chart="8" format="4" series="1">
      <pivotArea type="data" outline="0" fieldPosition="0">
        <references count="2">
          <reference field="4294967294" count="1" selected="0">
            <x v="0"/>
          </reference>
          <reference field="7" count="1" selected="0">
            <x v="0"/>
          </reference>
        </references>
      </pivotArea>
    </chartFormat>
    <chartFormat chart="8" format="5" series="1">
      <pivotArea type="data" outline="0" fieldPosition="0">
        <references count="2">
          <reference field="4294967294" count="1" selected="0">
            <x v="0"/>
          </reference>
          <reference field="7" count="1" selected="0">
            <x v="1"/>
          </reference>
        </references>
      </pivotArea>
    </chartFormat>
    <chartFormat chart="9" format="4" series="1">
      <pivotArea type="data" outline="0" fieldPosition="0">
        <references count="2">
          <reference field="4294967294" count="1" selected="0">
            <x v="0"/>
          </reference>
          <reference field="7" count="1" selected="0">
            <x v="0"/>
          </reference>
        </references>
      </pivotArea>
    </chartFormat>
    <chartFormat chart="9" format="5"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0D086D94-FDDA-48BC-A285-215E63EBF839}" sourceName="Age">
  <pivotTables>
    <pivotTable tabId="10" name="PivotTable2"/>
  </pivotTables>
  <data>
    <tabular pivotCacheId="737134092">
      <items count="10">
        <i x="5" s="1"/>
        <i x="1" s="1"/>
        <i x="9" s="1"/>
        <i x="6" s="1"/>
        <i x="0" s="1"/>
        <i x="7" s="1"/>
        <i x="3" s="1"/>
        <i x="8"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1C7413D-9226-447E-9820-8DB824EFC6A9}" sourceName="City">
  <pivotTables>
    <pivotTable tabId="10" name="PivotTable6"/>
    <pivotTable tabId="10" name="PivotTable1"/>
    <pivotTable tabId="10" name="PivotTable2"/>
  </pivotTables>
  <data>
    <tabular pivotCacheId="737134092">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A34BFEE-1DD0-4C71-B18C-1236CFF339D2}" sourceName="Gender">
  <pivotTables>
    <pivotTable tabId="10" name="PivotTable6"/>
    <pivotTable tabId="10" name="PivotTable1"/>
    <pivotTable tabId="10" name="PivotTable2"/>
  </pivotTables>
  <data>
    <tabular pivotCacheId="737134092">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25C3E01-1CD2-4270-B8E1-BFDF758CFEF9}" sourceName="Product">
  <pivotTables>
    <pivotTable tabId="10" name="PivotTable6"/>
    <pivotTable tabId="10" name="PivotTable1"/>
    <pivotTable tabId="10" name="PivotTable2"/>
  </pivotTables>
  <data>
    <tabular pivotCacheId="737134092">
      <items count="8">
        <i x="3" s="1"/>
        <i x="1" s="1"/>
        <i x="5" s="1"/>
        <i x="0" s="1"/>
        <i x="7" s="1"/>
        <i x="4" s="1"/>
        <i x="2"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EA0092F-D5DE-4A9E-B1C6-6B13BBBC3853}" cache="Slicer_Age" caption="Age" rowHeight="251883"/>
  <slicer name="City" xr10:uid="{8E01ADB1-5994-4480-989E-B9D174271787}" cache="Slicer_City" caption="City" rowHeight="251883"/>
  <slicer name="Gender" xr10:uid="{35B9CBCE-825A-43DF-8806-1CF8ED91A866}" cache="Slicer_Gender" caption="Gender" rowHeight="251883"/>
  <slicer name="Product" xr10:uid="{F0497C61-F77A-4FB9-AABE-9B616428273C}" cache="Slicer_Product" caption="Product"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BC1F1F-E590-489F-A739-68270D2167A7}" name="Table2" displayName="Table2" ref="A1:L21" totalsRowShown="0" headerRowDxfId="3">
  <autoFilter ref="A1:L21" xr:uid="{16BC1F1F-E590-489F-A739-68270D2167A7}"/>
  <tableColumns count="12">
    <tableColumn id="1" xr3:uid="{47003A5D-7FD1-4667-84D8-AE0450448698}" name="Order_ID"/>
    <tableColumn id="2" xr3:uid="{9BDEC69A-FB41-488F-8A37-A500D1B44965}" name="Customer_Name"/>
    <tableColumn id="3" xr3:uid="{7DB4392C-C7B8-44B0-8C9D-4A378C77F04A}" name="Gender"/>
    <tableColumn id="4" xr3:uid="{2B5B9858-1FBA-4C0D-A07D-050CF7F4C410}" name="Age"/>
    <tableColumn id="5" xr3:uid="{A46B36FD-96F4-4F4A-ABBF-F41F05DE9070}" name="City"/>
    <tableColumn id="6" xr3:uid="{EAA6E3D2-F9C7-41D9-AA9E-EF26EF5F99FA}" name="Order_Date" dataDxfId="2"/>
    <tableColumn id="7" xr3:uid="{E476D2D2-B712-4632-9D64-AC83CEBFA141}" name="Product"/>
    <tableColumn id="8" xr3:uid="{D1C478BF-1792-4D15-B24B-53E7B837CD79}" name="Category"/>
    <tableColumn id="9" xr3:uid="{1606CAB0-A82A-465D-81F0-825212F8F205}" name="Quantity"/>
    <tableColumn id="10" xr3:uid="{475FB4A3-B3FF-405C-B8D9-4AF8969051F2}" name="Unit_Price" dataDxfId="1"/>
    <tableColumn id="11" xr3:uid="{D18907BF-34E1-4FAB-B36C-8DFF7497E516}" name="Total_Amount" dataDxfId="0"/>
    <tableColumn id="12" xr3:uid="{BDACF96C-46B0-4DE1-8B8B-FF0101C23951}" name="Payment_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03C5C2B-E9B0-4A3E-ADF0-EF9BA01ABCDB}">
  <we:reference id="wa200005502" version="1.0.0.12" store="en-US" storeType="OMEX"/>
  <we:alternateReferences>
    <we:reference id="wa200005502" version="1.0.0.12" store="wa200005502" storeType="OMEX"/>
  </we:alternateReferences>
  <we:properties>
    <we:property name="docId" value="&quot;tx6lnEWXA01gdO0V4o5yX&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097A2-9A65-4549-B0A9-DFABEE3E3F6A}">
  <dimension ref="A1:L21"/>
  <sheetViews>
    <sheetView workbookViewId="0">
      <selection activeCell="N12" sqref="N12"/>
    </sheetView>
  </sheetViews>
  <sheetFormatPr defaultRowHeight="14.5" x14ac:dyDescent="0.35"/>
  <cols>
    <col min="2" max="2" width="10.54296875" customWidth="1"/>
    <col min="6" max="6" width="10.81640625" customWidth="1"/>
  </cols>
  <sheetData>
    <row r="1" spans="1:12" x14ac:dyDescent="0.35">
      <c r="A1" t="s">
        <v>0</v>
      </c>
      <c r="B1" t="s">
        <v>1</v>
      </c>
      <c r="C1" t="s">
        <v>2</v>
      </c>
      <c r="D1" t="s">
        <v>3</v>
      </c>
      <c r="E1" t="s">
        <v>4</v>
      </c>
      <c r="F1" t="s">
        <v>5</v>
      </c>
      <c r="G1" t="s">
        <v>6</v>
      </c>
      <c r="H1" t="s">
        <v>7</v>
      </c>
      <c r="I1" t="s">
        <v>8</v>
      </c>
      <c r="J1" t="s">
        <v>9</v>
      </c>
      <c r="K1" t="s">
        <v>10</v>
      </c>
      <c r="L1" t="s">
        <v>11</v>
      </c>
    </row>
    <row r="2" spans="1:12" x14ac:dyDescent="0.35">
      <c r="A2">
        <v>1001</v>
      </c>
      <c r="B2" t="s">
        <v>12</v>
      </c>
      <c r="C2" t="s">
        <v>13</v>
      </c>
      <c r="D2">
        <v>28</v>
      </c>
      <c r="E2" t="s">
        <v>14</v>
      </c>
      <c r="F2" s="1">
        <v>45296</v>
      </c>
      <c r="G2" t="s">
        <v>15</v>
      </c>
      <c r="H2" t="s">
        <v>16</v>
      </c>
      <c r="I2">
        <v>1</v>
      </c>
      <c r="J2">
        <v>45000</v>
      </c>
      <c r="K2">
        <v>45000</v>
      </c>
      <c r="L2" t="s">
        <v>17</v>
      </c>
    </row>
    <row r="3" spans="1:12" x14ac:dyDescent="0.35">
      <c r="A3">
        <v>1002</v>
      </c>
      <c r="B3" t="s">
        <v>18</v>
      </c>
      <c r="C3" t="s">
        <v>19</v>
      </c>
      <c r="D3">
        <v>22</v>
      </c>
      <c r="E3" t="s">
        <v>20</v>
      </c>
      <c r="F3" s="1">
        <v>45298</v>
      </c>
      <c r="G3" t="s">
        <v>21</v>
      </c>
      <c r="H3" t="s">
        <v>16</v>
      </c>
      <c r="I3">
        <v>2</v>
      </c>
      <c r="J3">
        <v>1500</v>
      </c>
      <c r="K3">
        <v>3000</v>
      </c>
      <c r="L3" t="s">
        <v>22</v>
      </c>
    </row>
    <row r="4" spans="1:12" x14ac:dyDescent="0.35">
      <c r="A4">
        <v>1003</v>
      </c>
      <c r="B4" t="s">
        <v>23</v>
      </c>
      <c r="C4" t="s">
        <v>13</v>
      </c>
      <c r="D4">
        <v>35</v>
      </c>
      <c r="E4" t="s">
        <v>24</v>
      </c>
      <c r="F4" s="1">
        <v>45413</v>
      </c>
      <c r="G4" t="s">
        <v>25</v>
      </c>
      <c r="H4" t="s">
        <v>26</v>
      </c>
      <c r="I4">
        <v>1</v>
      </c>
      <c r="J4">
        <v>5500</v>
      </c>
      <c r="K4">
        <v>5500</v>
      </c>
      <c r="L4" t="s">
        <v>27</v>
      </c>
    </row>
    <row r="5" spans="1:12" x14ac:dyDescent="0.35">
      <c r="A5">
        <v>1004</v>
      </c>
      <c r="B5" t="s">
        <v>28</v>
      </c>
      <c r="C5" t="s">
        <v>19</v>
      </c>
      <c r="D5">
        <v>30</v>
      </c>
      <c r="E5" t="s">
        <v>14</v>
      </c>
      <c r="F5" s="1">
        <v>45301</v>
      </c>
      <c r="G5" t="s">
        <v>29</v>
      </c>
      <c r="H5" t="s">
        <v>26</v>
      </c>
      <c r="I5">
        <v>1</v>
      </c>
      <c r="J5">
        <v>8000</v>
      </c>
      <c r="K5">
        <v>8000</v>
      </c>
      <c r="L5" t="s">
        <v>30</v>
      </c>
    </row>
    <row r="6" spans="1:12" x14ac:dyDescent="0.35">
      <c r="A6">
        <v>1005</v>
      </c>
      <c r="B6" t="s">
        <v>31</v>
      </c>
      <c r="C6" t="s">
        <v>13</v>
      </c>
      <c r="D6">
        <v>41</v>
      </c>
      <c r="E6" t="s">
        <v>32</v>
      </c>
      <c r="F6" s="1">
        <v>45303</v>
      </c>
      <c r="G6" t="s">
        <v>33</v>
      </c>
      <c r="H6" t="s">
        <v>16</v>
      </c>
      <c r="I6">
        <v>3</v>
      </c>
      <c r="J6">
        <v>700</v>
      </c>
      <c r="K6">
        <v>2100</v>
      </c>
      <c r="L6" t="s">
        <v>34</v>
      </c>
    </row>
    <row r="7" spans="1:12" x14ac:dyDescent="0.35">
      <c r="A7">
        <v>1006</v>
      </c>
      <c r="B7" t="s">
        <v>35</v>
      </c>
      <c r="C7" t="s">
        <v>19</v>
      </c>
      <c r="D7">
        <v>22</v>
      </c>
      <c r="E7" t="s">
        <v>20</v>
      </c>
      <c r="F7" s="1">
        <v>45298</v>
      </c>
      <c r="G7" t="s">
        <v>21</v>
      </c>
      <c r="H7" t="s">
        <v>16</v>
      </c>
      <c r="I7">
        <v>2</v>
      </c>
      <c r="J7">
        <v>1500</v>
      </c>
      <c r="K7">
        <v>3000</v>
      </c>
      <c r="L7" t="s">
        <v>22</v>
      </c>
    </row>
    <row r="8" spans="1:12" x14ac:dyDescent="0.35">
      <c r="A8">
        <v>1007</v>
      </c>
      <c r="B8" t="s">
        <v>36</v>
      </c>
      <c r="C8" t="s">
        <v>13</v>
      </c>
      <c r="D8">
        <v>19</v>
      </c>
      <c r="E8" t="s">
        <v>14</v>
      </c>
      <c r="F8" s="2">
        <v>45304</v>
      </c>
      <c r="G8" t="s">
        <v>37</v>
      </c>
      <c r="H8" t="s">
        <v>16</v>
      </c>
      <c r="I8">
        <v>1</v>
      </c>
      <c r="J8">
        <v>1200</v>
      </c>
      <c r="K8">
        <v>1200</v>
      </c>
      <c r="L8" t="s">
        <v>38</v>
      </c>
    </row>
    <row r="9" spans="1:12" x14ac:dyDescent="0.35">
      <c r="A9">
        <v>1008</v>
      </c>
      <c r="B9" t="s">
        <v>39</v>
      </c>
      <c r="C9" t="s">
        <v>19</v>
      </c>
      <c r="D9">
        <v>30</v>
      </c>
      <c r="E9" t="s">
        <v>24</v>
      </c>
      <c r="F9" s="1">
        <v>45306</v>
      </c>
      <c r="G9" t="s">
        <v>40</v>
      </c>
      <c r="H9" t="s">
        <v>26</v>
      </c>
      <c r="I9">
        <v>1</v>
      </c>
      <c r="J9">
        <v>10000</v>
      </c>
      <c r="K9">
        <v>10000</v>
      </c>
      <c r="L9" t="s">
        <v>17</v>
      </c>
    </row>
    <row r="10" spans="1:12" x14ac:dyDescent="0.35">
      <c r="A10">
        <v>1009</v>
      </c>
      <c r="B10" t="s">
        <v>41</v>
      </c>
      <c r="C10" t="s">
        <v>19</v>
      </c>
      <c r="D10">
        <v>27</v>
      </c>
      <c r="E10" t="s">
        <v>14</v>
      </c>
      <c r="F10" s="1">
        <v>45308</v>
      </c>
      <c r="G10" t="s">
        <v>15</v>
      </c>
      <c r="H10" t="s">
        <v>16</v>
      </c>
      <c r="I10">
        <v>1</v>
      </c>
      <c r="J10">
        <v>45000</v>
      </c>
      <c r="K10">
        <v>45000</v>
      </c>
      <c r="L10" t="s">
        <v>17</v>
      </c>
    </row>
    <row r="11" spans="1:12" x14ac:dyDescent="0.35">
      <c r="A11">
        <v>1010</v>
      </c>
      <c r="B11" t="s">
        <v>42</v>
      </c>
      <c r="C11" t="s">
        <v>13</v>
      </c>
      <c r="D11">
        <v>30</v>
      </c>
      <c r="E11" t="s">
        <v>20</v>
      </c>
      <c r="F11" s="1">
        <v>45309</v>
      </c>
      <c r="G11" t="s">
        <v>43</v>
      </c>
      <c r="H11" t="s">
        <v>16</v>
      </c>
      <c r="I11">
        <v>2</v>
      </c>
      <c r="J11">
        <v>8000</v>
      </c>
      <c r="K11">
        <v>16000</v>
      </c>
      <c r="L11" t="s">
        <v>27</v>
      </c>
    </row>
    <row r="12" spans="1:12" x14ac:dyDescent="0.35">
      <c r="A12">
        <v>1011</v>
      </c>
      <c r="B12" t="s">
        <v>44</v>
      </c>
      <c r="C12" t="s">
        <v>19</v>
      </c>
      <c r="D12">
        <v>29</v>
      </c>
      <c r="E12" t="s">
        <v>24</v>
      </c>
      <c r="F12" t="s">
        <v>45</v>
      </c>
      <c r="G12" t="s">
        <v>29</v>
      </c>
      <c r="H12" t="s">
        <v>26</v>
      </c>
      <c r="I12">
        <v>1</v>
      </c>
      <c r="J12">
        <v>8000</v>
      </c>
      <c r="K12">
        <v>8000</v>
      </c>
      <c r="L12" t="s">
        <v>17</v>
      </c>
    </row>
    <row r="13" spans="1:12" x14ac:dyDescent="0.35">
      <c r="A13">
        <v>1012</v>
      </c>
      <c r="B13" t="s">
        <v>46</v>
      </c>
      <c r="C13" t="s">
        <v>13</v>
      </c>
      <c r="D13">
        <v>33</v>
      </c>
      <c r="E13" t="s">
        <v>14</v>
      </c>
      <c r="F13" s="1">
        <v>45311</v>
      </c>
      <c r="G13" t="s">
        <v>33</v>
      </c>
      <c r="H13" t="s">
        <v>16</v>
      </c>
      <c r="I13">
        <v>5</v>
      </c>
      <c r="J13">
        <v>700</v>
      </c>
      <c r="K13">
        <v>3500</v>
      </c>
      <c r="L13" t="s">
        <v>55</v>
      </c>
    </row>
    <row r="14" spans="1:12" x14ac:dyDescent="0.35">
      <c r="A14">
        <v>1013</v>
      </c>
      <c r="B14" t="s">
        <v>47</v>
      </c>
      <c r="C14" t="s">
        <v>19</v>
      </c>
      <c r="D14">
        <v>25</v>
      </c>
      <c r="E14" t="s">
        <v>14</v>
      </c>
      <c r="F14" s="1">
        <v>45312</v>
      </c>
      <c r="G14" t="s">
        <v>21</v>
      </c>
      <c r="H14" t="s">
        <v>16</v>
      </c>
      <c r="I14">
        <v>1</v>
      </c>
      <c r="J14">
        <v>1500</v>
      </c>
      <c r="K14">
        <v>1500</v>
      </c>
      <c r="L14" t="s">
        <v>17</v>
      </c>
    </row>
    <row r="15" spans="1:12" x14ac:dyDescent="0.35">
      <c r="A15">
        <v>1014</v>
      </c>
      <c r="B15" t="s">
        <v>36</v>
      </c>
      <c r="C15" t="s">
        <v>13</v>
      </c>
      <c r="D15">
        <v>19</v>
      </c>
      <c r="E15" t="s">
        <v>14</v>
      </c>
      <c r="F15" s="1">
        <v>45313</v>
      </c>
      <c r="G15" t="s">
        <v>37</v>
      </c>
      <c r="H15" t="s">
        <v>16</v>
      </c>
      <c r="I15">
        <v>1</v>
      </c>
      <c r="J15">
        <v>1200</v>
      </c>
      <c r="K15">
        <v>1200</v>
      </c>
      <c r="L15" t="s">
        <v>38</v>
      </c>
    </row>
    <row r="16" spans="1:12" x14ac:dyDescent="0.35">
      <c r="A16">
        <v>1015</v>
      </c>
      <c r="B16" t="s">
        <v>31</v>
      </c>
      <c r="C16" t="s">
        <v>13</v>
      </c>
      <c r="D16">
        <v>41</v>
      </c>
      <c r="E16" t="s">
        <v>20</v>
      </c>
      <c r="F16" s="1">
        <v>45314</v>
      </c>
      <c r="G16" t="s">
        <v>15</v>
      </c>
      <c r="H16" t="s">
        <v>16</v>
      </c>
      <c r="I16">
        <v>1</v>
      </c>
      <c r="J16" s="3">
        <v>45000</v>
      </c>
      <c r="K16" s="3">
        <v>45000</v>
      </c>
      <c r="L16" t="s">
        <v>22</v>
      </c>
    </row>
    <row r="17" spans="1:12" x14ac:dyDescent="0.35">
      <c r="A17">
        <v>1016</v>
      </c>
      <c r="B17" t="s">
        <v>28</v>
      </c>
      <c r="C17" t="s">
        <v>19</v>
      </c>
      <c r="D17">
        <v>30</v>
      </c>
      <c r="E17" t="s">
        <v>14</v>
      </c>
      <c r="F17" s="1">
        <v>45316</v>
      </c>
      <c r="G17" t="s">
        <v>40</v>
      </c>
      <c r="H17" t="s">
        <v>26</v>
      </c>
      <c r="I17">
        <v>1</v>
      </c>
      <c r="J17">
        <v>10000</v>
      </c>
      <c r="K17">
        <v>10000</v>
      </c>
      <c r="L17" t="s">
        <v>17</v>
      </c>
    </row>
    <row r="18" spans="1:12" x14ac:dyDescent="0.35">
      <c r="A18">
        <v>1017</v>
      </c>
      <c r="B18" t="s">
        <v>41</v>
      </c>
      <c r="C18" t="s">
        <v>19</v>
      </c>
      <c r="D18">
        <v>27</v>
      </c>
      <c r="E18" t="s">
        <v>14</v>
      </c>
      <c r="F18" s="1">
        <v>45317</v>
      </c>
      <c r="G18" t="s">
        <v>33</v>
      </c>
      <c r="H18" t="s">
        <v>16</v>
      </c>
      <c r="I18">
        <v>2</v>
      </c>
      <c r="J18">
        <v>700</v>
      </c>
      <c r="K18">
        <v>1400</v>
      </c>
      <c r="L18" t="s">
        <v>27</v>
      </c>
    </row>
    <row r="19" spans="1:12" x14ac:dyDescent="0.35">
      <c r="A19">
        <v>1018</v>
      </c>
      <c r="B19" t="s">
        <v>48</v>
      </c>
      <c r="C19" t="s">
        <v>13</v>
      </c>
      <c r="D19">
        <v>35</v>
      </c>
      <c r="E19" t="s">
        <v>24</v>
      </c>
      <c r="F19" t="s">
        <v>49</v>
      </c>
      <c r="G19" t="s">
        <v>25</v>
      </c>
      <c r="H19" t="s">
        <v>26</v>
      </c>
      <c r="I19">
        <v>1</v>
      </c>
      <c r="J19">
        <v>5500</v>
      </c>
      <c r="K19">
        <v>5500</v>
      </c>
      <c r="L19" t="s">
        <v>50</v>
      </c>
    </row>
    <row r="20" spans="1:12" x14ac:dyDescent="0.35">
      <c r="A20">
        <v>1019</v>
      </c>
      <c r="B20" t="s">
        <v>51</v>
      </c>
      <c r="C20" t="s">
        <v>13</v>
      </c>
      <c r="D20">
        <v>28</v>
      </c>
      <c r="E20" t="s">
        <v>14</v>
      </c>
      <c r="F20" s="1">
        <v>45319</v>
      </c>
      <c r="G20" t="s">
        <v>43</v>
      </c>
      <c r="H20" t="s">
        <v>16</v>
      </c>
      <c r="I20">
        <v>1</v>
      </c>
      <c r="J20">
        <v>8000</v>
      </c>
      <c r="K20">
        <v>8000</v>
      </c>
      <c r="L20" t="s">
        <v>17</v>
      </c>
    </row>
    <row r="21" spans="1:12" x14ac:dyDescent="0.35">
      <c r="A21">
        <v>1020</v>
      </c>
      <c r="B21" t="s">
        <v>52</v>
      </c>
      <c r="C21" t="s">
        <v>19</v>
      </c>
      <c r="D21">
        <v>22</v>
      </c>
      <c r="E21" t="s">
        <v>20</v>
      </c>
      <c r="F21" s="1">
        <v>45320</v>
      </c>
      <c r="G21" t="s">
        <v>21</v>
      </c>
      <c r="H21" t="s">
        <v>16</v>
      </c>
      <c r="I21">
        <v>1</v>
      </c>
      <c r="J21">
        <v>1500</v>
      </c>
      <c r="K21">
        <v>1500</v>
      </c>
      <c r="L21" t="s">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69773-28FC-4E94-A8DE-9563E161767A}">
  <dimension ref="A1:L21"/>
  <sheetViews>
    <sheetView workbookViewId="0">
      <selection activeCell="F22" sqref="F22"/>
    </sheetView>
  </sheetViews>
  <sheetFormatPr defaultRowHeight="14.5" x14ac:dyDescent="0.35"/>
  <cols>
    <col min="1" max="1" width="10.08984375" customWidth="1"/>
    <col min="2" max="2" width="16.7265625" customWidth="1"/>
    <col min="3" max="3" width="8.90625" customWidth="1"/>
    <col min="6" max="6" width="12.1796875" style="8" customWidth="1"/>
    <col min="7" max="7" width="11.54296875" customWidth="1"/>
    <col min="8" max="8" width="10.1796875" customWidth="1"/>
    <col min="9" max="9" width="10" customWidth="1"/>
    <col min="10" max="10" width="11.453125" customWidth="1"/>
    <col min="11" max="11" width="14.26953125" customWidth="1"/>
    <col min="12" max="12" width="17.26953125" customWidth="1"/>
  </cols>
  <sheetData>
    <row r="1" spans="1:12" x14ac:dyDescent="0.35">
      <c r="A1" s="4" t="s">
        <v>0</v>
      </c>
      <c r="B1" s="4" t="s">
        <v>1</v>
      </c>
      <c r="C1" s="4" t="s">
        <v>2</v>
      </c>
      <c r="D1" s="4" t="s">
        <v>3</v>
      </c>
      <c r="E1" s="4" t="s">
        <v>4</v>
      </c>
      <c r="F1" s="7" t="s">
        <v>5</v>
      </c>
      <c r="G1" s="4" t="s">
        <v>6</v>
      </c>
      <c r="H1" s="4" t="s">
        <v>7</v>
      </c>
      <c r="I1" s="4" t="s">
        <v>8</v>
      </c>
      <c r="J1" s="4" t="s">
        <v>9</v>
      </c>
      <c r="K1" s="4" t="s">
        <v>10</v>
      </c>
      <c r="L1" s="4" t="s">
        <v>11</v>
      </c>
    </row>
    <row r="2" spans="1:12" x14ac:dyDescent="0.35">
      <c r="A2">
        <v>1001</v>
      </c>
      <c r="B2" t="s">
        <v>51</v>
      </c>
      <c r="C2" t="s">
        <v>13</v>
      </c>
      <c r="D2">
        <v>28</v>
      </c>
      <c r="E2" t="s">
        <v>14</v>
      </c>
      <c r="F2" s="8">
        <v>45413</v>
      </c>
      <c r="G2" t="s">
        <v>15</v>
      </c>
      <c r="H2" t="s">
        <v>16</v>
      </c>
      <c r="I2">
        <v>1</v>
      </c>
      <c r="J2">
        <v>45000</v>
      </c>
      <c r="K2">
        <v>45000</v>
      </c>
      <c r="L2" t="s">
        <v>17</v>
      </c>
    </row>
    <row r="3" spans="1:12" x14ac:dyDescent="0.35">
      <c r="A3">
        <v>1002</v>
      </c>
      <c r="B3" t="s">
        <v>52</v>
      </c>
      <c r="C3" t="s">
        <v>19</v>
      </c>
      <c r="D3">
        <v>22</v>
      </c>
      <c r="E3" t="s">
        <v>20</v>
      </c>
      <c r="F3" s="8">
        <v>45298</v>
      </c>
      <c r="G3" t="s">
        <v>21</v>
      </c>
      <c r="H3" t="s">
        <v>16</v>
      </c>
      <c r="I3">
        <v>2</v>
      </c>
      <c r="J3">
        <v>1500</v>
      </c>
      <c r="K3">
        <v>3000</v>
      </c>
      <c r="L3" t="s">
        <v>22</v>
      </c>
    </row>
    <row r="4" spans="1:12" x14ac:dyDescent="0.35">
      <c r="A4">
        <v>1003</v>
      </c>
      <c r="B4" t="s">
        <v>48</v>
      </c>
      <c r="C4" t="s">
        <v>13</v>
      </c>
      <c r="D4">
        <v>35</v>
      </c>
      <c r="E4" t="s">
        <v>24</v>
      </c>
      <c r="F4" s="8">
        <v>45296</v>
      </c>
      <c r="G4" t="s">
        <v>25</v>
      </c>
      <c r="H4" t="s">
        <v>26</v>
      </c>
      <c r="I4">
        <v>1</v>
      </c>
      <c r="J4">
        <v>5500</v>
      </c>
      <c r="K4">
        <v>5500</v>
      </c>
      <c r="L4" t="s">
        <v>27</v>
      </c>
    </row>
    <row r="5" spans="1:12" x14ac:dyDescent="0.35">
      <c r="A5">
        <v>1004</v>
      </c>
      <c r="B5" t="s">
        <v>28</v>
      </c>
      <c r="C5" t="s">
        <v>19</v>
      </c>
      <c r="D5">
        <v>30</v>
      </c>
      <c r="E5" t="s">
        <v>14</v>
      </c>
      <c r="F5" s="8">
        <v>45301</v>
      </c>
      <c r="G5" t="s">
        <v>29</v>
      </c>
      <c r="H5" t="s">
        <v>26</v>
      </c>
      <c r="I5">
        <v>1</v>
      </c>
      <c r="J5">
        <v>8000</v>
      </c>
      <c r="K5">
        <v>8000</v>
      </c>
      <c r="L5" t="s">
        <v>17</v>
      </c>
    </row>
    <row r="6" spans="1:12" x14ac:dyDescent="0.35">
      <c r="A6">
        <v>1005</v>
      </c>
      <c r="B6" t="s">
        <v>31</v>
      </c>
      <c r="C6" t="s">
        <v>13</v>
      </c>
      <c r="D6">
        <v>41</v>
      </c>
      <c r="E6" t="s">
        <v>20</v>
      </c>
      <c r="F6" s="8">
        <v>45303</v>
      </c>
      <c r="G6" t="s">
        <v>33</v>
      </c>
      <c r="H6" t="s">
        <v>16</v>
      </c>
      <c r="I6">
        <v>3</v>
      </c>
      <c r="J6">
        <v>700</v>
      </c>
      <c r="K6">
        <v>2100</v>
      </c>
      <c r="L6" t="s">
        <v>22</v>
      </c>
    </row>
    <row r="7" spans="1:12" x14ac:dyDescent="0.35">
      <c r="A7">
        <v>1006</v>
      </c>
      <c r="B7" t="s">
        <v>52</v>
      </c>
      <c r="C7" t="s">
        <v>19</v>
      </c>
      <c r="D7">
        <v>22</v>
      </c>
      <c r="E7" t="s">
        <v>20</v>
      </c>
      <c r="F7" s="8">
        <v>45298</v>
      </c>
      <c r="G7" t="s">
        <v>21</v>
      </c>
      <c r="H7" t="s">
        <v>16</v>
      </c>
      <c r="I7">
        <v>2</v>
      </c>
      <c r="J7">
        <v>1500</v>
      </c>
      <c r="K7">
        <v>3000</v>
      </c>
      <c r="L7" t="s">
        <v>22</v>
      </c>
    </row>
    <row r="8" spans="1:12" x14ac:dyDescent="0.35">
      <c r="A8">
        <v>1007</v>
      </c>
      <c r="B8" t="s">
        <v>36</v>
      </c>
      <c r="C8" t="s">
        <v>13</v>
      </c>
      <c r="D8">
        <v>19</v>
      </c>
      <c r="E8" t="s">
        <v>14</v>
      </c>
      <c r="F8" s="8">
        <v>45304</v>
      </c>
      <c r="G8" t="s">
        <v>37</v>
      </c>
      <c r="H8" t="s">
        <v>16</v>
      </c>
      <c r="I8">
        <v>1</v>
      </c>
      <c r="J8">
        <v>1200</v>
      </c>
      <c r="K8">
        <v>1200</v>
      </c>
      <c r="L8" t="s">
        <v>38</v>
      </c>
    </row>
    <row r="9" spans="1:12" x14ac:dyDescent="0.35">
      <c r="A9">
        <v>1008</v>
      </c>
      <c r="B9" t="s">
        <v>53</v>
      </c>
      <c r="C9" t="s">
        <v>19</v>
      </c>
      <c r="D9">
        <v>30</v>
      </c>
      <c r="E9" t="s">
        <v>24</v>
      </c>
      <c r="F9" s="8">
        <v>45306</v>
      </c>
      <c r="G9" t="s">
        <v>40</v>
      </c>
      <c r="H9" t="s">
        <v>26</v>
      </c>
      <c r="I9">
        <v>1</v>
      </c>
      <c r="J9">
        <v>10000</v>
      </c>
      <c r="K9">
        <v>10000</v>
      </c>
      <c r="L9" t="s">
        <v>17</v>
      </c>
    </row>
    <row r="10" spans="1:12" x14ac:dyDescent="0.35">
      <c r="A10">
        <v>1009</v>
      </c>
      <c r="B10" t="s">
        <v>41</v>
      </c>
      <c r="C10" t="s">
        <v>19</v>
      </c>
      <c r="D10">
        <v>27</v>
      </c>
      <c r="E10" t="s">
        <v>14</v>
      </c>
      <c r="F10" s="8">
        <v>45308</v>
      </c>
      <c r="G10" t="s">
        <v>15</v>
      </c>
      <c r="H10" t="s">
        <v>16</v>
      </c>
      <c r="I10">
        <v>1</v>
      </c>
      <c r="J10">
        <v>45000</v>
      </c>
      <c r="K10">
        <v>45000</v>
      </c>
      <c r="L10" t="s">
        <v>17</v>
      </c>
    </row>
    <row r="11" spans="1:12" x14ac:dyDescent="0.35">
      <c r="A11">
        <v>1010</v>
      </c>
      <c r="B11" t="s">
        <v>42</v>
      </c>
      <c r="C11" t="s">
        <v>13</v>
      </c>
      <c r="D11">
        <v>30</v>
      </c>
      <c r="E11" t="s">
        <v>20</v>
      </c>
      <c r="F11" s="8">
        <v>45309</v>
      </c>
      <c r="G11" t="s">
        <v>43</v>
      </c>
      <c r="H11" t="s">
        <v>16</v>
      </c>
      <c r="I11">
        <v>2</v>
      </c>
      <c r="J11">
        <v>8000</v>
      </c>
      <c r="K11">
        <v>16000</v>
      </c>
      <c r="L11" t="s">
        <v>27</v>
      </c>
    </row>
    <row r="12" spans="1:12" x14ac:dyDescent="0.35">
      <c r="A12">
        <v>1011</v>
      </c>
      <c r="B12" t="s">
        <v>44</v>
      </c>
      <c r="C12" t="s">
        <v>19</v>
      </c>
      <c r="D12">
        <v>29</v>
      </c>
      <c r="E12" t="s">
        <v>24</v>
      </c>
      <c r="F12" s="8">
        <v>45309</v>
      </c>
      <c r="G12" t="s">
        <v>29</v>
      </c>
      <c r="H12" t="s">
        <v>26</v>
      </c>
      <c r="I12">
        <v>1</v>
      </c>
      <c r="J12">
        <v>8000</v>
      </c>
      <c r="K12">
        <v>8000</v>
      </c>
      <c r="L12" t="s">
        <v>17</v>
      </c>
    </row>
    <row r="13" spans="1:12" x14ac:dyDescent="0.35">
      <c r="A13">
        <v>1012</v>
      </c>
      <c r="B13" t="s">
        <v>46</v>
      </c>
      <c r="C13" t="s">
        <v>13</v>
      </c>
      <c r="D13">
        <v>33</v>
      </c>
      <c r="E13" t="s">
        <v>14</v>
      </c>
      <c r="F13" s="8">
        <v>45311</v>
      </c>
      <c r="G13" t="s">
        <v>33</v>
      </c>
      <c r="H13" t="s">
        <v>16</v>
      </c>
      <c r="I13">
        <v>5</v>
      </c>
      <c r="J13">
        <v>700</v>
      </c>
      <c r="K13">
        <v>3500</v>
      </c>
      <c r="L13" t="s">
        <v>22</v>
      </c>
    </row>
    <row r="14" spans="1:12" x14ac:dyDescent="0.35">
      <c r="A14">
        <v>1013</v>
      </c>
      <c r="B14" t="s">
        <v>47</v>
      </c>
      <c r="C14" t="s">
        <v>19</v>
      </c>
      <c r="D14">
        <v>25</v>
      </c>
      <c r="E14" t="s">
        <v>14</v>
      </c>
      <c r="F14" s="8">
        <v>45312</v>
      </c>
      <c r="G14" t="s">
        <v>21</v>
      </c>
      <c r="H14" t="s">
        <v>16</v>
      </c>
      <c r="I14">
        <v>1</v>
      </c>
      <c r="J14">
        <v>1500</v>
      </c>
      <c r="K14">
        <v>1500</v>
      </c>
      <c r="L14" t="s">
        <v>17</v>
      </c>
    </row>
    <row r="15" spans="1:12" x14ac:dyDescent="0.35">
      <c r="A15">
        <v>1014</v>
      </c>
      <c r="B15" t="s">
        <v>36</v>
      </c>
      <c r="C15" t="s">
        <v>13</v>
      </c>
      <c r="D15">
        <v>19</v>
      </c>
      <c r="E15" t="s">
        <v>14</v>
      </c>
      <c r="F15" s="8">
        <v>45313</v>
      </c>
      <c r="G15" t="s">
        <v>37</v>
      </c>
      <c r="H15" t="s">
        <v>16</v>
      </c>
      <c r="I15">
        <v>1</v>
      </c>
      <c r="J15">
        <v>1200</v>
      </c>
      <c r="K15">
        <v>1200</v>
      </c>
      <c r="L15" t="s">
        <v>38</v>
      </c>
    </row>
    <row r="16" spans="1:12" x14ac:dyDescent="0.35">
      <c r="A16">
        <v>1015</v>
      </c>
      <c r="B16" t="s">
        <v>31</v>
      </c>
      <c r="C16" t="s">
        <v>13</v>
      </c>
      <c r="D16">
        <v>41</v>
      </c>
      <c r="E16" t="s">
        <v>20</v>
      </c>
      <c r="F16" s="8">
        <v>45314</v>
      </c>
      <c r="G16" t="s">
        <v>15</v>
      </c>
      <c r="H16" t="s">
        <v>16</v>
      </c>
      <c r="I16">
        <v>1</v>
      </c>
      <c r="J16">
        <v>45000</v>
      </c>
      <c r="K16">
        <v>45000</v>
      </c>
      <c r="L16" t="s">
        <v>22</v>
      </c>
    </row>
    <row r="17" spans="1:12" x14ac:dyDescent="0.35">
      <c r="A17">
        <v>1016</v>
      </c>
      <c r="B17" t="s">
        <v>28</v>
      </c>
      <c r="C17" t="s">
        <v>19</v>
      </c>
      <c r="D17">
        <v>30</v>
      </c>
      <c r="E17" t="s">
        <v>14</v>
      </c>
      <c r="F17" s="8">
        <v>45316</v>
      </c>
      <c r="G17" t="s">
        <v>40</v>
      </c>
      <c r="H17" t="s">
        <v>26</v>
      </c>
      <c r="I17">
        <v>1</v>
      </c>
      <c r="J17">
        <v>10000</v>
      </c>
      <c r="K17">
        <v>10000</v>
      </c>
      <c r="L17" t="s">
        <v>17</v>
      </c>
    </row>
    <row r="18" spans="1:12" x14ac:dyDescent="0.35">
      <c r="A18">
        <v>1017</v>
      </c>
      <c r="B18" t="s">
        <v>41</v>
      </c>
      <c r="C18" t="s">
        <v>19</v>
      </c>
      <c r="D18">
        <v>27</v>
      </c>
      <c r="E18" t="s">
        <v>14</v>
      </c>
      <c r="F18" s="8">
        <v>45317</v>
      </c>
      <c r="G18" t="s">
        <v>33</v>
      </c>
      <c r="H18" t="s">
        <v>16</v>
      </c>
      <c r="I18">
        <v>2</v>
      </c>
      <c r="J18">
        <v>700</v>
      </c>
      <c r="K18">
        <v>1400</v>
      </c>
      <c r="L18" t="s">
        <v>27</v>
      </c>
    </row>
    <row r="19" spans="1:12" x14ac:dyDescent="0.35">
      <c r="A19">
        <v>1018</v>
      </c>
      <c r="B19" t="s">
        <v>48</v>
      </c>
      <c r="C19" t="s">
        <v>13</v>
      </c>
      <c r="D19">
        <v>35</v>
      </c>
      <c r="E19" t="s">
        <v>24</v>
      </c>
      <c r="F19" s="8">
        <v>45317</v>
      </c>
      <c r="G19" t="s">
        <v>25</v>
      </c>
      <c r="H19" t="s">
        <v>26</v>
      </c>
      <c r="I19">
        <v>1</v>
      </c>
      <c r="J19">
        <v>5500</v>
      </c>
      <c r="K19">
        <v>5500</v>
      </c>
      <c r="L19" t="s">
        <v>27</v>
      </c>
    </row>
    <row r="20" spans="1:12" x14ac:dyDescent="0.35">
      <c r="A20">
        <v>1019</v>
      </c>
      <c r="B20" t="s">
        <v>51</v>
      </c>
      <c r="C20" t="s">
        <v>13</v>
      </c>
      <c r="D20">
        <v>28</v>
      </c>
      <c r="E20" t="s">
        <v>14</v>
      </c>
      <c r="F20" s="8">
        <v>45319</v>
      </c>
      <c r="G20" t="s">
        <v>43</v>
      </c>
      <c r="H20" t="s">
        <v>16</v>
      </c>
      <c r="I20">
        <v>1</v>
      </c>
      <c r="J20">
        <v>8000</v>
      </c>
      <c r="K20">
        <v>8000</v>
      </c>
      <c r="L20" t="s">
        <v>17</v>
      </c>
    </row>
    <row r="21" spans="1:12" x14ac:dyDescent="0.35">
      <c r="A21">
        <v>1020</v>
      </c>
      <c r="B21" t="s">
        <v>52</v>
      </c>
      <c r="C21" t="s">
        <v>19</v>
      </c>
      <c r="D21">
        <v>22</v>
      </c>
      <c r="E21" t="s">
        <v>20</v>
      </c>
      <c r="F21" s="8">
        <v>45320</v>
      </c>
      <c r="G21" t="s">
        <v>21</v>
      </c>
      <c r="H21" t="s">
        <v>16</v>
      </c>
      <c r="I21">
        <v>1</v>
      </c>
      <c r="J21">
        <v>1500</v>
      </c>
      <c r="K21">
        <v>1500</v>
      </c>
      <c r="L21"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590A3-9471-4C92-9E52-E83C9F5F7E77}">
  <dimension ref="A2:D34"/>
  <sheetViews>
    <sheetView topLeftCell="A12" zoomScale="91" workbookViewId="0">
      <selection activeCell="J31" sqref="J31"/>
    </sheetView>
  </sheetViews>
  <sheetFormatPr defaultRowHeight="14.5" x14ac:dyDescent="0.35"/>
  <cols>
    <col min="1" max="1" width="12.6328125" bestFit="1" customWidth="1"/>
    <col min="2" max="2" width="15.90625" bestFit="1" customWidth="1"/>
    <col min="3" max="3" width="8.7265625" bestFit="1" customWidth="1"/>
    <col min="4" max="4" width="10.453125" bestFit="1" customWidth="1"/>
    <col min="5" max="5" width="15.6328125" bestFit="1" customWidth="1"/>
    <col min="6" max="6" width="8.54296875" bestFit="1" customWidth="1"/>
    <col min="7" max="7" width="10.36328125" bestFit="1" customWidth="1"/>
    <col min="9" max="9" width="12.453125" bestFit="1" customWidth="1"/>
    <col min="10" max="10" width="15.6328125" bestFit="1" customWidth="1"/>
  </cols>
  <sheetData>
    <row r="2" spans="1:2" x14ac:dyDescent="0.35">
      <c r="A2" t="s">
        <v>61</v>
      </c>
    </row>
    <row r="3" spans="1:2" x14ac:dyDescent="0.35">
      <c r="A3" s="5" t="s">
        <v>56</v>
      </c>
      <c r="B3" t="s">
        <v>58</v>
      </c>
    </row>
    <row r="4" spans="1:2" x14ac:dyDescent="0.35">
      <c r="A4" s="6" t="s">
        <v>29</v>
      </c>
      <c r="B4" s="11">
        <v>16000</v>
      </c>
    </row>
    <row r="5" spans="1:2" x14ac:dyDescent="0.35">
      <c r="A5" s="6" t="s">
        <v>21</v>
      </c>
      <c r="B5" s="11">
        <v>9000</v>
      </c>
    </row>
    <row r="6" spans="1:2" x14ac:dyDescent="0.35">
      <c r="A6" s="6" t="s">
        <v>37</v>
      </c>
      <c r="B6" s="11">
        <v>2400</v>
      </c>
    </row>
    <row r="7" spans="1:2" x14ac:dyDescent="0.35">
      <c r="A7" s="6" t="s">
        <v>15</v>
      </c>
      <c r="B7" s="11">
        <v>135000</v>
      </c>
    </row>
    <row r="8" spans="1:2" x14ac:dyDescent="0.35">
      <c r="A8" s="6" t="s">
        <v>43</v>
      </c>
      <c r="B8" s="11">
        <v>24000</v>
      </c>
    </row>
    <row r="9" spans="1:2" x14ac:dyDescent="0.35">
      <c r="A9" s="6" t="s">
        <v>33</v>
      </c>
      <c r="B9" s="11">
        <v>7000</v>
      </c>
    </row>
    <row r="10" spans="1:2" x14ac:dyDescent="0.35">
      <c r="A10" s="6" t="s">
        <v>25</v>
      </c>
      <c r="B10" s="11">
        <v>11000</v>
      </c>
    </row>
    <row r="11" spans="1:2" x14ac:dyDescent="0.35">
      <c r="A11" s="6" t="s">
        <v>40</v>
      </c>
      <c r="B11" s="11">
        <v>20000</v>
      </c>
    </row>
    <row r="12" spans="1:2" x14ac:dyDescent="0.35">
      <c r="A12" s="6" t="s">
        <v>57</v>
      </c>
      <c r="B12" s="11">
        <v>224400</v>
      </c>
    </row>
    <row r="17" spans="1:4" x14ac:dyDescent="0.35">
      <c r="A17" t="s">
        <v>62</v>
      </c>
    </row>
    <row r="18" spans="1:4" x14ac:dyDescent="0.35">
      <c r="A18" s="5" t="s">
        <v>58</v>
      </c>
      <c r="B18" s="5" t="s">
        <v>60</v>
      </c>
    </row>
    <row r="19" spans="1:4" x14ac:dyDescent="0.35">
      <c r="A19" s="5" t="s">
        <v>56</v>
      </c>
      <c r="B19" t="s">
        <v>16</v>
      </c>
      <c r="C19" t="s">
        <v>26</v>
      </c>
      <c r="D19" t="s">
        <v>57</v>
      </c>
    </row>
    <row r="20" spans="1:4" x14ac:dyDescent="0.35">
      <c r="A20" s="6" t="s">
        <v>20</v>
      </c>
      <c r="B20" s="11">
        <v>70600</v>
      </c>
      <c r="C20" s="11"/>
      <c r="D20" s="11">
        <v>70600</v>
      </c>
    </row>
    <row r="21" spans="1:4" x14ac:dyDescent="0.35">
      <c r="A21" s="6" t="s">
        <v>24</v>
      </c>
      <c r="B21" s="11"/>
      <c r="C21" s="11">
        <v>29000</v>
      </c>
      <c r="D21" s="11">
        <v>29000</v>
      </c>
    </row>
    <row r="22" spans="1:4" x14ac:dyDescent="0.35">
      <c r="A22" s="6" t="s">
        <v>14</v>
      </c>
      <c r="B22" s="11">
        <v>106800</v>
      </c>
      <c r="C22" s="11">
        <v>18000</v>
      </c>
      <c r="D22" s="11">
        <v>124800</v>
      </c>
    </row>
    <row r="23" spans="1:4" x14ac:dyDescent="0.35">
      <c r="A23" s="6" t="s">
        <v>57</v>
      </c>
      <c r="B23" s="11">
        <v>177400</v>
      </c>
      <c r="C23" s="11">
        <v>47000</v>
      </c>
      <c r="D23" s="11">
        <v>224400</v>
      </c>
    </row>
    <row r="28" spans="1:4" x14ac:dyDescent="0.35">
      <c r="A28" t="s">
        <v>63</v>
      </c>
    </row>
    <row r="29" spans="1:4" x14ac:dyDescent="0.35">
      <c r="A29" s="5" t="s">
        <v>56</v>
      </c>
      <c r="B29" t="s">
        <v>59</v>
      </c>
    </row>
    <row r="30" spans="1:4" x14ac:dyDescent="0.35">
      <c r="A30" s="6" t="s">
        <v>22</v>
      </c>
      <c r="B30" s="11">
        <v>6</v>
      </c>
    </row>
    <row r="31" spans="1:4" x14ac:dyDescent="0.35">
      <c r="A31" s="6" t="s">
        <v>17</v>
      </c>
      <c r="B31" s="11">
        <v>8</v>
      </c>
    </row>
    <row r="32" spans="1:4" x14ac:dyDescent="0.35">
      <c r="A32" s="6" t="s">
        <v>38</v>
      </c>
      <c r="B32" s="11">
        <v>2</v>
      </c>
    </row>
    <row r="33" spans="1:2" x14ac:dyDescent="0.35">
      <c r="A33" s="6" t="s">
        <v>27</v>
      </c>
      <c r="B33" s="11">
        <v>4</v>
      </c>
    </row>
    <row r="34" spans="1:2" x14ac:dyDescent="0.35">
      <c r="A34" s="6" t="s">
        <v>57</v>
      </c>
      <c r="B34" s="11">
        <v>20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3BB43-6142-436C-A458-C763649D5D7F}">
  <dimension ref="A1:P5"/>
  <sheetViews>
    <sheetView showGridLines="0" tabSelected="1" zoomScale="75" workbookViewId="0">
      <selection activeCell="R16" sqref="R16"/>
    </sheetView>
  </sheetViews>
  <sheetFormatPr defaultRowHeight="14.5" x14ac:dyDescent="0.35"/>
  <sheetData>
    <row r="1" spans="1:16" x14ac:dyDescent="0.35">
      <c r="A1" s="9" t="s">
        <v>64</v>
      </c>
      <c r="B1" s="10"/>
      <c r="C1" s="10"/>
      <c r="D1" s="10"/>
      <c r="E1" s="10"/>
      <c r="F1" s="10"/>
      <c r="G1" s="10"/>
      <c r="H1" s="10"/>
      <c r="I1" s="10"/>
      <c r="J1" s="10"/>
      <c r="K1" s="10"/>
      <c r="L1" s="10"/>
      <c r="M1" s="10"/>
      <c r="N1" s="10"/>
      <c r="O1" s="10"/>
      <c r="P1" s="10"/>
    </row>
    <row r="2" spans="1:16" x14ac:dyDescent="0.35">
      <c r="A2" s="10"/>
      <c r="B2" s="10"/>
      <c r="C2" s="10"/>
      <c r="D2" s="10"/>
      <c r="E2" s="10"/>
      <c r="F2" s="10"/>
      <c r="G2" s="10"/>
      <c r="H2" s="10"/>
      <c r="I2" s="10"/>
      <c r="J2" s="10"/>
      <c r="K2" s="10"/>
      <c r="L2" s="10"/>
      <c r="M2" s="10"/>
      <c r="N2" s="10"/>
      <c r="O2" s="10"/>
      <c r="P2" s="10"/>
    </row>
    <row r="3" spans="1:16" x14ac:dyDescent="0.35">
      <c r="A3" s="10"/>
      <c r="B3" s="10"/>
      <c r="C3" s="10"/>
      <c r="D3" s="10"/>
      <c r="E3" s="10"/>
      <c r="F3" s="10"/>
      <c r="G3" s="10"/>
      <c r="H3" s="10"/>
      <c r="I3" s="10"/>
      <c r="J3" s="10"/>
      <c r="K3" s="10"/>
      <c r="L3" s="10"/>
      <c r="M3" s="10"/>
      <c r="N3" s="10"/>
      <c r="O3" s="10"/>
      <c r="P3" s="10"/>
    </row>
    <row r="4" spans="1:16" x14ac:dyDescent="0.35">
      <c r="A4" s="10"/>
      <c r="B4" s="10"/>
      <c r="C4" s="10"/>
      <c r="D4" s="10"/>
      <c r="E4" s="10"/>
      <c r="F4" s="10"/>
      <c r="G4" s="10"/>
      <c r="H4" s="10"/>
      <c r="I4" s="10"/>
      <c r="J4" s="10"/>
      <c r="K4" s="10"/>
      <c r="L4" s="10"/>
      <c r="M4" s="10"/>
      <c r="N4" s="10"/>
      <c r="O4" s="10"/>
      <c r="P4" s="10"/>
    </row>
    <row r="5" spans="1:16" x14ac:dyDescent="0.35">
      <c r="A5" s="10"/>
      <c r="B5" s="10"/>
      <c r="C5" s="10"/>
      <c r="D5" s="10"/>
      <c r="E5" s="10"/>
      <c r="F5" s="10"/>
      <c r="G5" s="10"/>
      <c r="H5" s="10"/>
      <c r="I5" s="10"/>
      <c r="J5" s="10"/>
      <c r="K5" s="10"/>
      <c r="L5" s="10"/>
      <c r="M5" s="10"/>
      <c r="N5" s="10"/>
      <c r="O5" s="10"/>
      <c r="P5" s="10"/>
    </row>
  </sheetData>
  <mergeCells count="1">
    <mergeCell ref="A1:P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RawData(Unclean)</vt:lpstr>
      <vt:lpstr>CleanedData</vt: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Ernesto Aralar</dc:creator>
  <cp:lastModifiedBy>Ernesto Aralar</cp:lastModifiedBy>
  <dcterms:created xsi:type="dcterms:W3CDTF">2026-02-23T04:53:17Z</dcterms:created>
  <dcterms:modified xsi:type="dcterms:W3CDTF">2026-02-25T05:46:15Z</dcterms:modified>
</cp:coreProperties>
</file>